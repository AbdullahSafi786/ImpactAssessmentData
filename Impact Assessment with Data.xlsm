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480" yWindow="105" windowWidth="20730" windowHeight="11760" activeTab="1"/>
  </bookViews>
  <sheets>
    <sheet name="Values" sheetId="1" r:id="rId1"/>
    <sheet name="Input_output" sheetId="2" r:id="rId2"/>
  </sheets>
  <calcPr calcId="124519"/>
</workbook>
</file>

<file path=xl/calcChain.xml><?xml version="1.0" encoding="utf-8"?>
<calcChain xmlns="http://schemas.openxmlformats.org/spreadsheetml/2006/main">
  <c r="D2" i="2"/>
  <c r="I64"/>
  <c r="H64"/>
  <c r="G64"/>
  <c r="F64"/>
  <c r="J64" s="1"/>
  <c r="E64"/>
  <c r="D64"/>
  <c r="C64"/>
  <c r="B64"/>
  <c r="I63"/>
  <c r="H63"/>
  <c r="G63"/>
  <c r="F63"/>
  <c r="J63" s="1"/>
  <c r="E63"/>
  <c r="D63"/>
  <c r="C63"/>
  <c r="B63"/>
  <c r="I62"/>
  <c r="H62"/>
  <c r="G62"/>
  <c r="F62"/>
  <c r="J62" s="1"/>
  <c r="E62"/>
  <c r="D62"/>
  <c r="C62"/>
  <c r="B62"/>
  <c r="I61"/>
  <c r="H61"/>
  <c r="G61"/>
  <c r="F61"/>
  <c r="J61" s="1"/>
  <c r="E61"/>
  <c r="D61"/>
  <c r="C61"/>
  <c r="B61"/>
  <c r="I60"/>
  <c r="H60"/>
  <c r="G60"/>
  <c r="F60"/>
  <c r="J60" s="1"/>
  <c r="E60"/>
  <c r="D60"/>
  <c r="C60"/>
  <c r="B60"/>
  <c r="I59"/>
  <c r="H59"/>
  <c r="G59"/>
  <c r="F59"/>
  <c r="J59" s="1"/>
  <c r="E59"/>
  <c r="D59"/>
  <c r="C59"/>
  <c r="B59"/>
  <c r="I58"/>
  <c r="H58"/>
  <c r="G58"/>
  <c r="F58"/>
  <c r="J58" s="1"/>
  <c r="E58"/>
  <c r="D58"/>
  <c r="C58"/>
  <c r="B58"/>
  <c r="I57"/>
  <c r="H57"/>
  <c r="G57"/>
  <c r="F57"/>
  <c r="J57" s="1"/>
  <c r="E57"/>
  <c r="D57"/>
  <c r="C57"/>
  <c r="B57"/>
  <c r="I56"/>
  <c r="H56"/>
  <c r="G56"/>
  <c r="F56"/>
  <c r="J56" s="1"/>
  <c r="E56"/>
  <c r="D56"/>
  <c r="C56"/>
  <c r="B56"/>
  <c r="I55"/>
  <c r="H55"/>
  <c r="G55"/>
  <c r="F55"/>
  <c r="J55" s="1"/>
  <c r="E55"/>
  <c r="D55"/>
  <c r="C55"/>
  <c r="B55"/>
  <c r="I54"/>
  <c r="H54"/>
  <c r="G54"/>
  <c r="F54"/>
  <c r="J54" s="1"/>
  <c r="E54"/>
  <c r="D54"/>
  <c r="C54"/>
  <c r="B54"/>
  <c r="I53"/>
  <c r="H53"/>
  <c r="G53"/>
  <c r="B53"/>
  <c r="I52"/>
  <c r="H52"/>
  <c r="G52"/>
  <c r="B52"/>
  <c r="I51"/>
  <c r="H51"/>
  <c r="G51"/>
  <c r="B51"/>
  <c r="I50"/>
  <c r="H50"/>
  <c r="G50"/>
  <c r="B50"/>
  <c r="I49"/>
  <c r="H49"/>
  <c r="G49"/>
  <c r="B49"/>
  <c r="I48"/>
  <c r="H48"/>
  <c r="G48"/>
  <c r="B48"/>
  <c r="I47"/>
  <c r="H47"/>
  <c r="G47"/>
  <c r="B47"/>
  <c r="I46"/>
  <c r="H46"/>
  <c r="G46"/>
  <c r="B46"/>
  <c r="I45"/>
  <c r="H45"/>
  <c r="G45"/>
  <c r="B45"/>
  <c r="I44"/>
  <c r="H44"/>
  <c r="G44"/>
  <c r="B44"/>
  <c r="I43"/>
  <c r="H43"/>
  <c r="G43"/>
  <c r="B43"/>
  <c r="I42"/>
  <c r="B42"/>
  <c r="J39"/>
  <c r="H39"/>
  <c r="F39"/>
  <c r="D32"/>
  <c r="D42" s="1"/>
  <c r="D43" s="1"/>
  <c r="D44" s="1"/>
  <c r="D45" s="1"/>
  <c r="D46" s="1"/>
  <c r="D47" s="1"/>
  <c r="D48" s="1"/>
  <c r="D49" s="1"/>
  <c r="D50" s="1"/>
  <c r="D51" s="1"/>
  <c r="D52" s="1"/>
  <c r="D53" s="1"/>
  <c r="D31"/>
  <c r="E29"/>
  <c r="E27"/>
  <c r="F27" s="1"/>
  <c r="E42" s="1"/>
  <c r="H2"/>
  <c r="F2"/>
  <c r="K54" l="1"/>
  <c r="O54" s="1"/>
  <c r="K60"/>
  <c r="O60" s="1"/>
  <c r="K55"/>
  <c r="O55" s="1"/>
  <c r="K62"/>
  <c r="O62" s="1"/>
  <c r="K56"/>
  <c r="O56" s="1"/>
  <c r="K64"/>
  <c r="O64" s="1"/>
  <c r="K58"/>
  <c r="O58" s="1"/>
  <c r="K61"/>
  <c r="O61" s="1"/>
  <c r="K63"/>
  <c r="O63" s="1"/>
  <c r="K57"/>
  <c r="O57" s="1"/>
  <c r="F42"/>
  <c r="E43"/>
  <c r="E44" s="1"/>
  <c r="E45" s="1"/>
  <c r="E46" s="1"/>
  <c r="E47" s="1"/>
  <c r="E48" s="1"/>
  <c r="E49" s="1"/>
  <c r="E50" s="1"/>
  <c r="E51" s="1"/>
  <c r="E52" s="1"/>
  <c r="E53" s="1"/>
  <c r="K59"/>
  <c r="O59" s="1"/>
  <c r="N54" l="1"/>
  <c r="P58"/>
  <c r="P60"/>
  <c r="N60"/>
  <c r="N59"/>
  <c r="P54"/>
  <c r="N55"/>
  <c r="P55"/>
  <c r="N64"/>
  <c r="N58"/>
  <c r="J42"/>
  <c r="F43"/>
  <c r="P62"/>
  <c r="N62"/>
  <c r="P56"/>
  <c r="N63"/>
  <c r="P57"/>
  <c r="N57"/>
  <c r="N56"/>
  <c r="P64"/>
  <c r="N61"/>
  <c r="P61"/>
  <c r="P59"/>
  <c r="P63"/>
  <c r="K42" l="1"/>
  <c r="O42" s="1"/>
  <c r="J43"/>
  <c r="F44"/>
  <c r="N42" l="1"/>
  <c r="K43"/>
  <c r="O43" s="1"/>
  <c r="F45"/>
  <c r="J44"/>
  <c r="P42"/>
  <c r="P43" l="1"/>
  <c r="F46"/>
  <c r="J45"/>
  <c r="K44"/>
  <c r="O44" s="1"/>
  <c r="N43"/>
  <c r="J46" l="1"/>
  <c r="F47"/>
  <c r="K45"/>
  <c r="O45" s="1"/>
  <c r="N44"/>
  <c r="P44"/>
  <c r="K46" l="1"/>
  <c r="O46" s="1"/>
  <c r="J47"/>
  <c r="F48"/>
  <c r="P45"/>
  <c r="N45"/>
  <c r="P46" l="1"/>
  <c r="F49"/>
  <c r="J48"/>
  <c r="N46"/>
  <c r="K47"/>
  <c r="O47" s="1"/>
  <c r="F50" l="1"/>
  <c r="J49"/>
  <c r="K48"/>
  <c r="O48" s="1"/>
  <c r="N47"/>
  <c r="P47"/>
  <c r="J50" l="1"/>
  <c r="F51"/>
  <c r="K49"/>
  <c r="O49" s="1"/>
  <c r="N48"/>
  <c r="P48"/>
  <c r="K50" l="1"/>
  <c r="O50" s="1"/>
  <c r="J51"/>
  <c r="F52"/>
  <c r="N49"/>
  <c r="P49"/>
  <c r="P50" l="1"/>
  <c r="K51"/>
  <c r="O51" s="1"/>
  <c r="F53"/>
  <c r="J53" s="1"/>
  <c r="J52"/>
  <c r="N50"/>
  <c r="K53" l="1"/>
  <c r="O53" s="1"/>
  <c r="K52"/>
  <c r="O52" s="1"/>
  <c r="N51"/>
  <c r="P51"/>
  <c r="N53" l="1"/>
  <c r="N52"/>
  <c r="P53"/>
  <c r="Q42" s="1"/>
  <c r="P52"/>
</calcChain>
</file>

<file path=xl/comments1.xml><?xml version="1.0" encoding="utf-8"?>
<comments xmlns="http://schemas.openxmlformats.org/spreadsheetml/2006/main">
  <authors>
    <author>ciae</author>
  </authors>
  <commentList>
    <comment ref="D29" authorId="0">
      <text>
        <r>
          <rPr>
            <sz val="9"/>
            <rFont val="Tahoma"/>
            <family val="2"/>
          </rPr>
          <t>It should not be highlighted as I selected</t>
        </r>
        <r>
          <rPr>
            <b/>
            <sz val="9"/>
            <rFont val="Tahoma"/>
            <family val="2"/>
          </rPr>
          <t xml:space="preserve"> NO </t>
        </r>
        <r>
          <rPr>
            <sz val="9"/>
            <rFont val="Tahoma"/>
            <family val="2"/>
          </rPr>
          <t>at 7B</t>
        </r>
      </text>
    </comment>
  </commentList>
</comments>
</file>

<file path=xl/sharedStrings.xml><?xml version="1.0" encoding="utf-8"?>
<sst xmlns="http://schemas.openxmlformats.org/spreadsheetml/2006/main" count="108" uniqueCount="96">
  <si>
    <t>Crop</t>
  </si>
  <si>
    <t>Paddy</t>
  </si>
  <si>
    <t>Maize</t>
  </si>
  <si>
    <t>Wheat</t>
  </si>
  <si>
    <t>Barley</t>
  </si>
  <si>
    <t>Cereals</t>
  </si>
  <si>
    <t>Pigeon Pea</t>
  </si>
  <si>
    <t>Chickpea</t>
  </si>
  <si>
    <t>Green gram</t>
  </si>
  <si>
    <t>Lentil</t>
  </si>
  <si>
    <t>Black gram</t>
  </si>
  <si>
    <t>Pulses</t>
  </si>
  <si>
    <t>Mustard</t>
  </si>
  <si>
    <t>Soyabean</t>
  </si>
  <si>
    <t>Groundnut</t>
  </si>
  <si>
    <t>Sunflower</t>
  </si>
  <si>
    <t>Oilseed</t>
  </si>
  <si>
    <t>Cotton</t>
  </si>
  <si>
    <t>Jute</t>
  </si>
  <si>
    <t>Sugarcane</t>
  </si>
  <si>
    <t>Tobacco</t>
  </si>
  <si>
    <t>Potato</t>
  </si>
  <si>
    <t>Onion</t>
  </si>
  <si>
    <t>Tamoto</t>
  </si>
  <si>
    <t>Vegetables</t>
  </si>
  <si>
    <t>Foodgrains</t>
  </si>
  <si>
    <t>Others</t>
  </si>
  <si>
    <t>Total area under targeted crop(s)</t>
  </si>
  <si>
    <t>Ha</t>
  </si>
  <si>
    <t>Total output of targeted crops</t>
  </si>
  <si>
    <t>Kg</t>
  </si>
  <si>
    <t>Capacity of equipment</t>
  </si>
  <si>
    <t>Ha/day</t>
  </si>
  <si>
    <t>Kg/day</t>
  </si>
  <si>
    <t>Select from drop down</t>
  </si>
  <si>
    <t>No. of operational days in a year</t>
  </si>
  <si>
    <t>Change in operational cost</t>
  </si>
  <si>
    <t>Reducing</t>
  </si>
  <si>
    <t>Increasing</t>
  </si>
  <si>
    <t>No change</t>
  </si>
  <si>
    <t>Yield output enhancing</t>
  </si>
  <si>
    <t>Yes</t>
  </si>
  <si>
    <t>No</t>
  </si>
  <si>
    <t>Yield/Output enhancing</t>
  </si>
  <si>
    <t>Proportionate change in cost (fraction)</t>
  </si>
  <si>
    <t>Proportionate increase in yield/fraction (fraction)</t>
  </si>
  <si>
    <t>Target Crop</t>
  </si>
  <si>
    <t>Price elasticity for demand</t>
  </si>
  <si>
    <t>Price elasticity for supply</t>
  </si>
  <si>
    <t>Year of adoption (from)</t>
  </si>
  <si>
    <t>Year of adoption (to)</t>
  </si>
  <si>
    <t>Gross input cost reduction at final output</t>
  </si>
  <si>
    <t>Change in net cost per unit of final output</t>
  </si>
  <si>
    <r>
      <t>8</t>
    </r>
    <r>
      <rPr>
        <b/>
        <sz val="12"/>
        <color theme="1"/>
        <rFont val="Arial"/>
        <family val="2"/>
      </rPr>
      <t>B</t>
    </r>
  </si>
  <si>
    <t>8A</t>
  </si>
  <si>
    <t>9A</t>
  </si>
  <si>
    <t>9B</t>
  </si>
  <si>
    <t>10A</t>
  </si>
  <si>
    <t>10B</t>
  </si>
  <si>
    <t>7A</t>
  </si>
  <si>
    <t>7B</t>
  </si>
  <si>
    <t>4A</t>
  </si>
  <si>
    <t>4B</t>
  </si>
  <si>
    <t>Name of the technology</t>
  </si>
  <si>
    <t>Name of the function performed</t>
  </si>
  <si>
    <t xml:space="preserve">Impact assessment of </t>
  </si>
  <si>
    <t>for</t>
  </si>
  <si>
    <t>in</t>
  </si>
  <si>
    <t>Title:</t>
  </si>
  <si>
    <t>EoS</t>
  </si>
  <si>
    <t>EoD</t>
  </si>
  <si>
    <t>Sorghum</t>
  </si>
  <si>
    <t>Coarse Cereals</t>
  </si>
  <si>
    <t>Small Millets</t>
  </si>
  <si>
    <t>Fruits</t>
  </si>
  <si>
    <t>Yearwise no. in operation</t>
  </si>
  <si>
    <t>Year</t>
  </si>
  <si>
    <t>Cost change due to yield/output growth</t>
  </si>
  <si>
    <t>Probability of success (Adopted=1; under dev. 0&lt;x&lt;1)</t>
  </si>
  <si>
    <t>Rate of technology obsolescence (dev. last 15 years=1; older 0&lt;share of tech.&lt;1)</t>
  </si>
  <si>
    <t>Yearwise adoption rate</t>
  </si>
  <si>
    <t>Tech. induced shift of supply curve (k factor matrix)</t>
  </si>
  <si>
    <t>Proportion reduction in price (z-factor matrix)</t>
  </si>
  <si>
    <t>Production of targeted crop(s)/crop group just before the adoption started (Qo)</t>
  </si>
  <si>
    <t>Price of targeted cdrop(s)/crop group just before the adoption started (Po)</t>
  </si>
  <si>
    <t>Producers surplus matrix</t>
  </si>
  <si>
    <t>Consumer surplus matric</t>
  </si>
  <si>
    <t>20A</t>
  </si>
  <si>
    <t>20B</t>
  </si>
  <si>
    <t>Total surplus matrix</t>
  </si>
  <si>
    <t>Select from drop down; enter for "Other"</t>
  </si>
  <si>
    <t>OUTPUT</t>
  </si>
  <si>
    <t>INPUT</t>
  </si>
  <si>
    <t>Tractor operated digger</t>
  </si>
  <si>
    <t>harvesting</t>
  </si>
  <si>
    <t>Avg</t>
  </si>
</sst>
</file>

<file path=xl/styles.xml><?xml version="1.0" encoding="utf-8"?>
<styleSheet xmlns="http://schemas.openxmlformats.org/spreadsheetml/2006/main">
  <fonts count="16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i/>
      <sz val="12"/>
      <color rgb="FFFF0000"/>
      <name val="Arial"/>
      <family val="2"/>
    </font>
    <font>
      <b/>
      <sz val="12"/>
      <color theme="1"/>
      <name val="Arial"/>
      <family val="2"/>
    </font>
    <font>
      <sz val="10"/>
      <color theme="1"/>
      <name val="Times New Roman"/>
      <family val="1"/>
    </font>
    <font>
      <sz val="12"/>
      <color rgb="FFFF0000"/>
      <name val="Arial"/>
      <family val="2"/>
    </font>
    <font>
      <b/>
      <sz val="18"/>
      <color rgb="FFFF0000"/>
      <name val="Arial"/>
      <family val="2"/>
    </font>
    <font>
      <b/>
      <sz val="16"/>
      <color rgb="FF00B050"/>
      <name val="Arial"/>
      <family val="2"/>
    </font>
    <font>
      <b/>
      <sz val="10"/>
      <color rgb="FF002060"/>
      <name val="Arial"/>
      <family val="2"/>
    </font>
    <font>
      <b/>
      <sz val="10"/>
      <color rgb="FFFFFF00"/>
      <name val="Arial"/>
      <family val="2"/>
    </font>
    <font>
      <b/>
      <sz val="12"/>
      <color rgb="FFFF0000"/>
      <name val="Arial"/>
      <family val="2"/>
    </font>
    <font>
      <sz val="9"/>
      <name val="Tahoma"/>
      <family val="2"/>
    </font>
    <font>
      <b/>
      <sz val="9"/>
      <name val="Tahoma"/>
      <family val="2"/>
    </font>
    <font>
      <b/>
      <sz val="12"/>
      <color rgb="FF002060"/>
      <name val="Arial"/>
      <family val="2"/>
    </font>
    <font>
      <b/>
      <sz val="12"/>
      <color rgb="FFFFFF00"/>
      <name val="Arial"/>
      <family val="2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6" tint="-0.49995422223578601"/>
        <bgColor indexed="64"/>
      </patternFill>
    </fill>
  </fills>
  <borders count="1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5" fillId="2" borderId="1" applyNumberFormat="0" applyFont="0" applyAlignment="0" applyProtection="0"/>
  </cellStyleXfs>
  <cellXfs count="64">
    <xf numFmtId="0" fontId="0" fillId="0" borderId="0" xfId="0"/>
    <xf numFmtId="0" fontId="1" fillId="3" borderId="2" xfId="0" applyFont="1" applyFill="1" applyBorder="1" applyAlignment="1">
      <alignment horizontal="left"/>
    </xf>
    <xf numFmtId="0" fontId="1" fillId="4" borderId="2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/>
    </xf>
    <xf numFmtId="0" fontId="1" fillId="3" borderId="0" xfId="0" applyFont="1" applyFill="1" applyBorder="1"/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5" borderId="0" xfId="0" applyFont="1" applyFill="1" applyAlignment="1">
      <alignment horizontal="left"/>
    </xf>
    <xf numFmtId="0" fontId="1" fillId="5" borderId="0" xfId="0" applyFont="1" applyFill="1" applyBorder="1" applyAlignment="1">
      <alignment horizontal="left"/>
    </xf>
    <xf numFmtId="0" fontId="1" fillId="5" borderId="0" xfId="0" applyFont="1" applyFill="1" applyAlignment="1">
      <alignment vertical="top" wrapText="1"/>
    </xf>
    <xf numFmtId="0" fontId="1" fillId="6" borderId="2" xfId="0" applyFont="1" applyFill="1" applyBorder="1" applyAlignment="1">
      <alignment horizontal="left"/>
    </xf>
    <xf numFmtId="0" fontId="1" fillId="6" borderId="3" xfId="0" applyFont="1" applyFill="1" applyBorder="1" applyAlignment="1">
      <alignment horizontal="left"/>
    </xf>
    <xf numFmtId="0" fontId="0" fillId="6" borderId="2" xfId="0" applyFill="1" applyBorder="1" applyAlignment="1">
      <alignment horizontal="left" vertical="center" wrapText="1"/>
    </xf>
    <xf numFmtId="0" fontId="1" fillId="6" borderId="0" xfId="0" applyFont="1" applyFill="1" applyBorder="1" applyAlignment="1">
      <alignment horizontal="left"/>
    </xf>
    <xf numFmtId="0" fontId="4" fillId="6" borderId="0" xfId="0" applyFont="1" applyFill="1" applyBorder="1" applyAlignment="1">
      <alignment horizontal="left" vertical="center" wrapText="1"/>
    </xf>
    <xf numFmtId="0" fontId="0" fillId="6" borderId="0" xfId="0" applyFill="1" applyBorder="1" applyAlignment="1">
      <alignment horizontal="left" vertical="center" wrapText="1"/>
    </xf>
    <xf numFmtId="0" fontId="0" fillId="6" borderId="2" xfId="0" applyFill="1" applyBorder="1" applyAlignment="1">
      <alignment horizontal="left"/>
    </xf>
    <xf numFmtId="0" fontId="4" fillId="6" borderId="2" xfId="0" applyFont="1" applyFill="1" applyBorder="1" applyAlignment="1">
      <alignment horizontal="left" vertical="center" wrapText="1"/>
    </xf>
    <xf numFmtId="0" fontId="1" fillId="6" borderId="4" xfId="0" applyFont="1" applyFill="1" applyBorder="1" applyAlignment="1">
      <alignment horizontal="left"/>
    </xf>
    <xf numFmtId="0" fontId="1" fillId="6" borderId="5" xfId="0" applyFont="1" applyFill="1" applyBorder="1" applyAlignment="1">
      <alignment horizontal="left"/>
    </xf>
    <xf numFmtId="0" fontId="1" fillId="6" borderId="6" xfId="0" applyFont="1" applyFill="1" applyBorder="1" applyAlignment="1">
      <alignment horizontal="left"/>
    </xf>
    <xf numFmtId="0" fontId="1" fillId="6" borderId="7" xfId="0" applyFont="1" applyFill="1" applyBorder="1" applyAlignment="1">
      <alignment horizontal="left"/>
    </xf>
    <xf numFmtId="0" fontId="3" fillId="6" borderId="0" xfId="0" applyFont="1" applyFill="1" applyBorder="1" applyAlignment="1">
      <alignment horizontal="left"/>
    </xf>
    <xf numFmtId="0" fontId="1" fillId="6" borderId="8" xfId="0" applyFont="1" applyFill="1" applyBorder="1" applyAlignment="1">
      <alignment horizontal="left"/>
    </xf>
    <xf numFmtId="0" fontId="0" fillId="6" borderId="8" xfId="0" applyFill="1" applyBorder="1" applyAlignment="1">
      <alignment horizontal="left" vertical="center" wrapText="1"/>
    </xf>
    <xf numFmtId="0" fontId="1" fillId="6" borderId="9" xfId="0" applyFont="1" applyFill="1" applyBorder="1" applyAlignment="1">
      <alignment horizontal="left"/>
    </xf>
    <xf numFmtId="0" fontId="1" fillId="6" borderId="10" xfId="0" applyFont="1" applyFill="1" applyBorder="1" applyAlignment="1">
      <alignment horizontal="left"/>
    </xf>
    <xf numFmtId="0" fontId="4" fillId="6" borderId="10" xfId="0" applyFont="1" applyFill="1" applyBorder="1" applyAlignment="1">
      <alignment horizontal="left" vertical="center" wrapText="1"/>
    </xf>
    <xf numFmtId="0" fontId="1" fillId="6" borderId="11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left"/>
    </xf>
    <xf numFmtId="0" fontId="1" fillId="3" borderId="5" xfId="0" applyFont="1" applyFill="1" applyBorder="1"/>
    <xf numFmtId="0" fontId="1" fillId="3" borderId="6" xfId="0" applyFont="1" applyFill="1" applyBorder="1"/>
    <xf numFmtId="0" fontId="1" fillId="3" borderId="7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left"/>
    </xf>
    <xf numFmtId="0" fontId="1" fillId="3" borderId="8" xfId="0" applyFont="1" applyFill="1" applyBorder="1"/>
    <xf numFmtId="0" fontId="2" fillId="3" borderId="0" xfId="0" applyFont="1" applyFill="1" applyBorder="1" applyAlignment="1">
      <alignment horizontal="left"/>
    </xf>
    <xf numFmtId="0" fontId="1" fillId="3" borderId="2" xfId="0" applyFont="1" applyFill="1" applyBorder="1" applyAlignment="1" applyProtection="1">
      <alignment horizontal="left"/>
    </xf>
    <xf numFmtId="0" fontId="1" fillId="3" borderId="9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left"/>
    </xf>
    <xf numFmtId="0" fontId="1" fillId="3" borderId="10" xfId="0" applyFont="1" applyFill="1" applyBorder="1"/>
    <xf numFmtId="0" fontId="1" fillId="3" borderId="11" xfId="0" applyFont="1" applyFill="1" applyBorder="1"/>
    <xf numFmtId="0" fontId="1" fillId="4" borderId="2" xfId="0" applyFont="1" applyFill="1" applyBorder="1" applyAlignment="1">
      <alignment horizontal="left" vertical="top" wrapText="1"/>
    </xf>
    <xf numFmtId="0" fontId="1" fillId="4" borderId="2" xfId="0" applyFont="1" applyFill="1" applyBorder="1" applyAlignment="1">
      <alignment vertical="top" wrapText="1"/>
    </xf>
    <xf numFmtId="0" fontId="1" fillId="4" borderId="12" xfId="0" applyFont="1" applyFill="1" applyBorder="1" applyAlignment="1">
      <alignment horizontal="left"/>
    </xf>
    <xf numFmtId="0" fontId="5" fillId="4" borderId="2" xfId="0" applyFont="1" applyFill="1" applyBorder="1" applyAlignment="1">
      <alignment horizontal="left"/>
    </xf>
    <xf numFmtId="0" fontId="1" fillId="4" borderId="2" xfId="0" applyFont="1" applyFill="1" applyBorder="1"/>
    <xf numFmtId="0" fontId="7" fillId="7" borderId="5" xfId="0" applyFont="1" applyFill="1" applyBorder="1" applyAlignment="1">
      <alignment horizontal="left"/>
    </xf>
    <xf numFmtId="0" fontId="8" fillId="7" borderId="3" xfId="0" applyFont="1" applyFill="1" applyBorder="1" applyAlignment="1">
      <alignment horizontal="left"/>
    </xf>
    <xf numFmtId="0" fontId="9" fillId="8" borderId="3" xfId="0" applyFont="1" applyFill="1" applyBorder="1" applyAlignment="1">
      <alignment horizontal="left"/>
    </xf>
    <xf numFmtId="0" fontId="9" fillId="8" borderId="13" xfId="0" applyFont="1" applyFill="1" applyBorder="1" applyAlignment="1">
      <alignment horizontal="left"/>
    </xf>
    <xf numFmtId="0" fontId="6" fillId="7" borderId="2" xfId="0" applyFont="1" applyFill="1" applyBorder="1" applyAlignment="1">
      <alignment horizontal="left"/>
    </xf>
    <xf numFmtId="0" fontId="10" fillId="3" borderId="2" xfId="0" applyFont="1" applyFill="1" applyBorder="1" applyAlignment="1">
      <alignment horizontal="left"/>
    </xf>
    <xf numFmtId="0" fontId="5" fillId="4" borderId="12" xfId="0" applyFont="1" applyFill="1" applyBorder="1" applyAlignment="1">
      <alignment horizontal="left"/>
    </xf>
    <xf numFmtId="0" fontId="1" fillId="3" borderId="2" xfId="0" applyFont="1" applyFill="1" applyBorder="1"/>
    <xf numFmtId="1" fontId="1" fillId="4" borderId="2" xfId="0" applyNumberFormat="1" applyFont="1" applyFill="1" applyBorder="1" applyAlignment="1">
      <alignment horizontal="left"/>
    </xf>
    <xf numFmtId="0" fontId="1" fillId="3" borderId="7" xfId="0" applyFont="1" applyFill="1" applyBorder="1"/>
    <xf numFmtId="0" fontId="1" fillId="3" borderId="0" xfId="0" applyFont="1" applyFill="1"/>
    <xf numFmtId="0" fontId="13" fillId="7" borderId="14" xfId="0" applyFont="1" applyFill="1" applyBorder="1" applyAlignment="1">
      <alignment horizontal="left"/>
    </xf>
    <xf numFmtId="0" fontId="14" fillId="8" borderId="3" xfId="0" applyFont="1" applyFill="1" applyBorder="1" applyAlignment="1">
      <alignment horizontal="left"/>
    </xf>
    <xf numFmtId="0" fontId="14" fillId="8" borderId="3" xfId="0" applyFont="1" applyFill="1" applyBorder="1" applyAlignment="1">
      <alignment horizontal="center"/>
    </xf>
    <xf numFmtId="0" fontId="14" fillId="8" borderId="13" xfId="0" applyFont="1" applyFill="1" applyBorder="1" applyAlignment="1">
      <alignment horizontal="left"/>
    </xf>
    <xf numFmtId="0" fontId="14" fillId="8" borderId="3" xfId="0" applyFont="1" applyFill="1" applyBorder="1" applyAlignment="1"/>
    <xf numFmtId="0" fontId="1" fillId="2" borderId="1" xfId="1" applyFont="1" applyAlignment="1">
      <alignment horizontal="left"/>
    </xf>
  </cellXfs>
  <cellStyles count="2">
    <cellStyle name="Normal" xfId="0" builtinId="0"/>
    <cellStyle name="Note" xfId="1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J36"/>
  <sheetViews>
    <sheetView workbookViewId="0">
      <selection activeCell="N24" sqref="N24"/>
    </sheetView>
  </sheetViews>
  <sheetFormatPr defaultRowHeight="15"/>
  <cols>
    <col min="1" max="2" width="9.140625" style="7"/>
    <col min="3" max="3" width="17.28515625" style="7" bestFit="1" customWidth="1"/>
    <col min="4" max="5" width="13.140625" style="7" customWidth="1"/>
    <col min="6" max="6" width="26.28515625" style="7" bestFit="1" customWidth="1"/>
    <col min="7" max="7" width="31.28515625" style="7" bestFit="1" customWidth="1"/>
    <col min="8" max="8" width="27" style="7" bestFit="1" customWidth="1"/>
    <col min="9" max="16384" width="9.140625" style="7"/>
  </cols>
  <sheetData>
    <row r="2" spans="2:10">
      <c r="B2" s="18"/>
      <c r="C2" s="19"/>
      <c r="D2" s="19"/>
      <c r="E2" s="19"/>
      <c r="F2" s="19"/>
      <c r="G2" s="19"/>
      <c r="H2" s="19"/>
      <c r="I2" s="20"/>
    </row>
    <row r="3" spans="2:10" ht="15.75">
      <c r="B3" s="21"/>
      <c r="C3" s="22" t="s">
        <v>0</v>
      </c>
      <c r="D3" s="22" t="s">
        <v>70</v>
      </c>
      <c r="E3" s="22" t="s">
        <v>69</v>
      </c>
      <c r="F3" s="22" t="s">
        <v>31</v>
      </c>
      <c r="G3" s="22" t="s">
        <v>36</v>
      </c>
      <c r="H3" s="22" t="s">
        <v>40</v>
      </c>
      <c r="I3" s="23"/>
    </row>
    <row r="4" spans="2:10">
      <c r="B4" s="21"/>
      <c r="C4" s="10" t="s">
        <v>4</v>
      </c>
      <c r="D4" s="10"/>
      <c r="E4" s="10"/>
      <c r="F4" s="11" t="s">
        <v>32</v>
      </c>
      <c r="G4" s="10" t="s">
        <v>37</v>
      </c>
      <c r="H4" s="10" t="s">
        <v>41</v>
      </c>
      <c r="I4" s="23"/>
    </row>
    <row r="5" spans="2:10">
      <c r="B5" s="21"/>
      <c r="C5" s="10" t="s">
        <v>10</v>
      </c>
      <c r="D5" s="10"/>
      <c r="E5" s="10"/>
      <c r="F5" s="11" t="s">
        <v>33</v>
      </c>
      <c r="G5" s="10" t="s">
        <v>38</v>
      </c>
      <c r="H5" s="10" t="s">
        <v>42</v>
      </c>
      <c r="I5" s="23"/>
    </row>
    <row r="6" spans="2:10">
      <c r="B6" s="21"/>
      <c r="C6" s="10" t="s">
        <v>5</v>
      </c>
      <c r="D6" s="12">
        <v>0.45</v>
      </c>
      <c r="E6" s="12">
        <v>0.23569999999999999</v>
      </c>
      <c r="F6" s="13"/>
      <c r="G6" s="10" t="s">
        <v>39</v>
      </c>
      <c r="H6" s="13"/>
      <c r="I6" s="23"/>
    </row>
    <row r="7" spans="2:10">
      <c r="B7" s="21"/>
      <c r="C7" s="10" t="s">
        <v>7</v>
      </c>
      <c r="D7" s="10"/>
      <c r="E7" s="10"/>
      <c r="F7" s="13"/>
      <c r="G7" s="13"/>
      <c r="H7" s="13"/>
      <c r="I7" s="23"/>
    </row>
    <row r="8" spans="2:10">
      <c r="B8" s="21"/>
      <c r="C8" s="10" t="s">
        <v>72</v>
      </c>
      <c r="D8" s="12">
        <v>0.19400000000000001</v>
      </c>
      <c r="E8" s="12">
        <v>0.53</v>
      </c>
      <c r="F8" s="13"/>
      <c r="G8" s="13"/>
      <c r="H8" s="13"/>
      <c r="I8" s="23"/>
    </row>
    <row r="9" spans="2:10">
      <c r="B9" s="21"/>
      <c r="C9" s="10" t="s">
        <v>17</v>
      </c>
      <c r="D9" s="12">
        <v>0.44900000000000001</v>
      </c>
      <c r="E9" s="12">
        <v>0.33</v>
      </c>
      <c r="F9" s="13"/>
      <c r="G9" s="13"/>
      <c r="H9" s="13"/>
      <c r="I9" s="23"/>
    </row>
    <row r="10" spans="2:10">
      <c r="B10" s="21"/>
      <c r="C10" s="10" t="s">
        <v>25</v>
      </c>
      <c r="D10" s="10"/>
      <c r="E10" s="10"/>
      <c r="F10" s="13"/>
      <c r="G10" s="13"/>
      <c r="H10" s="13"/>
      <c r="I10" s="23"/>
    </row>
    <row r="11" spans="2:10">
      <c r="B11" s="21"/>
      <c r="C11" s="10" t="s">
        <v>74</v>
      </c>
      <c r="D11" s="12">
        <v>0.59499999999999997</v>
      </c>
      <c r="E11" s="12">
        <v>0.5</v>
      </c>
      <c r="F11" s="13"/>
      <c r="G11" s="13"/>
      <c r="H11" s="13"/>
      <c r="I11" s="23"/>
      <c r="J11" s="8"/>
    </row>
    <row r="12" spans="2:10">
      <c r="B12" s="21"/>
      <c r="C12" s="10" t="s">
        <v>8</v>
      </c>
      <c r="D12" s="10"/>
      <c r="E12" s="10"/>
      <c r="F12" s="13"/>
      <c r="G12" s="13"/>
      <c r="H12" s="13"/>
      <c r="I12" s="23"/>
      <c r="J12" s="8"/>
    </row>
    <row r="13" spans="2:10">
      <c r="B13" s="21"/>
      <c r="C13" s="10" t="s">
        <v>14</v>
      </c>
      <c r="D13" s="12">
        <v>1.0262</v>
      </c>
      <c r="E13" s="12">
        <v>0.22</v>
      </c>
      <c r="F13" s="13"/>
      <c r="G13" s="14"/>
      <c r="H13" s="15"/>
      <c r="I13" s="24"/>
      <c r="J13" s="8"/>
    </row>
    <row r="14" spans="2:10">
      <c r="B14" s="21"/>
      <c r="C14" s="10" t="s">
        <v>18</v>
      </c>
      <c r="D14" s="12">
        <v>0.3</v>
      </c>
      <c r="E14" s="12">
        <v>0.25</v>
      </c>
      <c r="F14" s="13"/>
      <c r="G14" s="14"/>
      <c r="H14" s="13"/>
      <c r="I14" s="23"/>
      <c r="J14" s="8"/>
    </row>
    <row r="15" spans="2:10">
      <c r="B15" s="21"/>
      <c r="C15" s="10" t="s">
        <v>9</v>
      </c>
      <c r="D15" s="10"/>
      <c r="E15" s="10"/>
      <c r="F15" s="13"/>
      <c r="G15" s="14"/>
      <c r="H15" s="13"/>
      <c r="I15" s="23"/>
      <c r="J15" s="8"/>
    </row>
    <row r="16" spans="2:10">
      <c r="B16" s="21"/>
      <c r="C16" s="10" t="s">
        <v>2</v>
      </c>
      <c r="D16" s="12">
        <v>0.80630000000000002</v>
      </c>
      <c r="E16" s="12">
        <v>0.124</v>
      </c>
      <c r="F16" s="13"/>
      <c r="G16" s="14"/>
      <c r="H16" s="13"/>
      <c r="I16" s="23"/>
      <c r="J16" s="8"/>
    </row>
    <row r="17" spans="2:10">
      <c r="B17" s="21"/>
      <c r="C17" s="10" t="s">
        <v>73</v>
      </c>
      <c r="D17" s="12">
        <v>0.72</v>
      </c>
      <c r="E17" s="12">
        <v>0.5</v>
      </c>
      <c r="F17" s="13"/>
      <c r="G17" s="14"/>
      <c r="H17" s="13"/>
      <c r="I17" s="23"/>
      <c r="J17" s="8"/>
    </row>
    <row r="18" spans="2:10">
      <c r="B18" s="21"/>
      <c r="C18" s="10" t="s">
        <v>12</v>
      </c>
      <c r="D18" s="12">
        <v>0.435</v>
      </c>
      <c r="E18" s="12">
        <v>0.23499999999999999</v>
      </c>
      <c r="F18" s="13"/>
      <c r="G18" s="14"/>
      <c r="H18" s="13"/>
      <c r="I18" s="23"/>
      <c r="J18" s="8"/>
    </row>
    <row r="19" spans="2:10">
      <c r="B19" s="21"/>
      <c r="C19" s="10" t="s">
        <v>16</v>
      </c>
      <c r="D19" s="12">
        <v>0.55000000000000004</v>
      </c>
      <c r="E19" s="12">
        <v>0.50790000000000002</v>
      </c>
      <c r="F19" s="13"/>
      <c r="G19" s="14"/>
      <c r="H19" s="13"/>
      <c r="I19" s="23"/>
      <c r="J19" s="8"/>
    </row>
    <row r="20" spans="2:10">
      <c r="B20" s="21"/>
      <c r="C20" s="10" t="s">
        <v>22</v>
      </c>
      <c r="D20" s="12">
        <v>0.1</v>
      </c>
      <c r="E20" s="12">
        <v>0.05</v>
      </c>
      <c r="F20" s="13"/>
      <c r="G20" s="14"/>
      <c r="H20" s="13"/>
      <c r="I20" s="23"/>
      <c r="J20" s="8"/>
    </row>
    <row r="21" spans="2:10" ht="15.75">
      <c r="B21" s="21"/>
      <c r="C21" s="10" t="s">
        <v>1</v>
      </c>
      <c r="D21" s="16">
        <v>0.247</v>
      </c>
      <c r="E21" s="16">
        <v>0.21</v>
      </c>
      <c r="F21" s="13"/>
      <c r="G21" s="14"/>
      <c r="H21" s="13"/>
      <c r="I21" s="23"/>
      <c r="J21" s="8"/>
    </row>
    <row r="22" spans="2:10">
      <c r="B22" s="21"/>
      <c r="C22" s="10" t="s">
        <v>6</v>
      </c>
      <c r="D22" s="10"/>
      <c r="E22" s="10"/>
      <c r="F22" s="13"/>
      <c r="G22" s="14"/>
      <c r="H22" s="13"/>
      <c r="I22" s="23"/>
      <c r="J22" s="8"/>
    </row>
    <row r="23" spans="2:10">
      <c r="B23" s="21"/>
      <c r="C23" s="10" t="s">
        <v>21</v>
      </c>
      <c r="D23" s="12">
        <v>0.96440000000000003</v>
      </c>
      <c r="E23" s="12">
        <v>0.05</v>
      </c>
      <c r="F23" s="13"/>
      <c r="G23" s="14"/>
      <c r="H23" s="13"/>
      <c r="I23" s="23"/>
      <c r="J23" s="8"/>
    </row>
    <row r="24" spans="2:10">
      <c r="B24" s="21"/>
      <c r="C24" s="10" t="s">
        <v>11</v>
      </c>
      <c r="D24" s="12">
        <v>0.75</v>
      </c>
      <c r="E24" s="12">
        <v>0.16950000000000001</v>
      </c>
      <c r="F24" s="13"/>
      <c r="G24" s="14"/>
      <c r="H24" s="13"/>
      <c r="I24" s="23"/>
      <c r="J24" s="8"/>
    </row>
    <row r="25" spans="2:10">
      <c r="B25" s="21"/>
      <c r="C25" s="10" t="s">
        <v>71</v>
      </c>
      <c r="D25" s="12">
        <v>0.52</v>
      </c>
      <c r="E25" s="12">
        <v>0.43</v>
      </c>
      <c r="F25" s="13"/>
      <c r="G25" s="14"/>
      <c r="H25" s="13"/>
      <c r="I25" s="23"/>
      <c r="J25" s="8"/>
    </row>
    <row r="26" spans="2:10">
      <c r="B26" s="21"/>
      <c r="C26" s="10" t="s">
        <v>13</v>
      </c>
      <c r="D26" s="12">
        <v>0.33529999999999999</v>
      </c>
      <c r="E26" s="12">
        <v>0.84119999999999995</v>
      </c>
      <c r="F26" s="13"/>
      <c r="G26" s="14"/>
      <c r="H26" s="13"/>
      <c r="I26" s="23"/>
      <c r="J26" s="8"/>
    </row>
    <row r="27" spans="2:10">
      <c r="B27" s="21"/>
      <c r="C27" s="10" t="s">
        <v>19</v>
      </c>
      <c r="D27" s="17">
        <v>0.33539999999999998</v>
      </c>
      <c r="E27" s="12">
        <v>0.1216</v>
      </c>
      <c r="F27" s="13"/>
      <c r="G27" s="14"/>
      <c r="H27" s="13"/>
      <c r="I27" s="23"/>
      <c r="J27" s="8"/>
    </row>
    <row r="28" spans="2:10">
      <c r="B28" s="21"/>
      <c r="C28" s="10" t="s">
        <v>15</v>
      </c>
      <c r="D28" s="10"/>
      <c r="E28" s="10"/>
      <c r="F28" s="13"/>
      <c r="G28" s="14"/>
      <c r="H28" s="13"/>
      <c r="I28" s="23"/>
      <c r="J28" s="8"/>
    </row>
    <row r="29" spans="2:10">
      <c r="B29" s="21"/>
      <c r="C29" s="10" t="s">
        <v>23</v>
      </c>
      <c r="D29" s="12">
        <v>0.84219999999999995</v>
      </c>
      <c r="E29" s="12">
        <v>0.81699999999999995</v>
      </c>
      <c r="F29" s="13"/>
      <c r="G29" s="14"/>
      <c r="H29" s="13"/>
      <c r="I29" s="23"/>
      <c r="J29" s="8"/>
    </row>
    <row r="30" spans="2:10">
      <c r="B30" s="21"/>
      <c r="C30" s="10" t="s">
        <v>20</v>
      </c>
      <c r="D30" s="12">
        <v>0.871</v>
      </c>
      <c r="E30" s="12">
        <v>0.81</v>
      </c>
      <c r="F30" s="13"/>
      <c r="G30" s="14"/>
      <c r="H30" s="13"/>
      <c r="I30" s="23"/>
      <c r="J30" s="8"/>
    </row>
    <row r="31" spans="2:10">
      <c r="B31" s="21"/>
      <c r="C31" s="10" t="s">
        <v>24</v>
      </c>
      <c r="D31" s="12">
        <v>0.51500000000000001</v>
      </c>
      <c r="E31" s="12">
        <v>1</v>
      </c>
      <c r="F31" s="13"/>
      <c r="G31" s="14"/>
      <c r="H31" s="13"/>
      <c r="I31" s="23"/>
      <c r="J31" s="8"/>
    </row>
    <row r="32" spans="2:10">
      <c r="B32" s="21"/>
      <c r="C32" s="10" t="s">
        <v>3</v>
      </c>
      <c r="D32" s="12">
        <v>0.34</v>
      </c>
      <c r="E32" s="12">
        <v>0.21640000000000001</v>
      </c>
      <c r="F32" s="13"/>
      <c r="G32" s="14"/>
      <c r="H32" s="13"/>
      <c r="I32" s="23"/>
      <c r="J32" s="8"/>
    </row>
    <row r="33" spans="2:10">
      <c r="B33" s="21"/>
      <c r="C33" s="10" t="s">
        <v>26</v>
      </c>
      <c r="D33" s="10"/>
      <c r="E33" s="10"/>
      <c r="F33" s="13"/>
      <c r="G33" s="14"/>
      <c r="H33" s="13"/>
      <c r="I33" s="23"/>
      <c r="J33" s="8"/>
    </row>
    <row r="34" spans="2:10">
      <c r="B34" s="25"/>
      <c r="C34" s="26"/>
      <c r="D34" s="26"/>
      <c r="E34" s="26"/>
      <c r="F34" s="26"/>
      <c r="G34" s="27"/>
      <c r="H34" s="26"/>
      <c r="I34" s="28"/>
      <c r="J34" s="8"/>
    </row>
    <row r="35" spans="2:10">
      <c r="G35" s="8"/>
      <c r="H35" s="8"/>
      <c r="I35" s="8"/>
      <c r="J35" s="8"/>
    </row>
    <row r="36" spans="2:10">
      <c r="G36" s="8"/>
      <c r="H36" s="8"/>
      <c r="I36" s="8"/>
      <c r="J36" s="8"/>
    </row>
  </sheetData>
  <sortState ref="C3:C28">
    <sortCondition ref="C3:C28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2:Q64"/>
  <sheetViews>
    <sheetView tabSelected="1" topLeftCell="B1" workbookViewId="0">
      <selection activeCell="E10" sqref="E10"/>
    </sheetView>
  </sheetViews>
  <sheetFormatPr defaultRowHeight="15"/>
  <cols>
    <col min="1" max="1" width="9.140625" style="6"/>
    <col min="2" max="2" width="9.140625" style="5"/>
    <col min="3" max="3" width="49.85546875" style="6" bestFit="1" customWidth="1"/>
    <col min="4" max="4" width="27.5703125" style="6" customWidth="1"/>
    <col min="5" max="5" width="14.28515625" style="6" customWidth="1"/>
    <col min="6" max="6" width="33.85546875" style="6" customWidth="1"/>
    <col min="7" max="7" width="13" style="6" customWidth="1"/>
    <col min="8" max="8" width="17.85546875" style="6" customWidth="1"/>
    <col min="9" max="9" width="10.42578125" style="6" customWidth="1"/>
    <col min="10" max="10" width="20" style="6" customWidth="1"/>
    <col min="11" max="11" width="13.85546875" style="6" customWidth="1"/>
    <col min="12" max="12" width="15.85546875" style="6" customWidth="1"/>
    <col min="13" max="13" width="15.42578125" style="6" customWidth="1"/>
    <col min="14" max="14" width="14.5703125" style="6" customWidth="1"/>
    <col min="15" max="15" width="15.140625" style="6" customWidth="1"/>
    <col min="16" max="17" width="15.5703125" style="6" customWidth="1"/>
    <col min="18" max="18" width="13.28515625" style="6" customWidth="1"/>
    <col min="19" max="16384" width="9.140625" style="6"/>
  </cols>
  <sheetData>
    <row r="2" spans="2:8" ht="15.75">
      <c r="B2" s="58" t="s">
        <v>68</v>
      </c>
      <c r="C2" s="60" t="s">
        <v>65</v>
      </c>
      <c r="D2" s="59" t="str">
        <f>Input_output!D6</f>
        <v>Tractor operated digger</v>
      </c>
      <c r="E2" s="60" t="s">
        <v>66</v>
      </c>
      <c r="F2" s="60" t="str">
        <f>Input_output!D8</f>
        <v>harvesting</v>
      </c>
      <c r="G2" s="62" t="s">
        <v>67</v>
      </c>
      <c r="H2" s="61" t="str">
        <f>IF(Input_output!D10="Others",Input_output!E10,Input_output!D10)</f>
        <v>Groundnut</v>
      </c>
    </row>
    <row r="4" spans="2:8" ht="20.25">
      <c r="B4" s="29"/>
      <c r="C4" s="47" t="s">
        <v>92</v>
      </c>
      <c r="D4" s="30"/>
      <c r="E4" s="30"/>
      <c r="F4" s="31"/>
      <c r="G4" s="32"/>
    </row>
    <row r="5" spans="2:8" ht="15.75">
      <c r="B5" s="33"/>
      <c r="C5" s="34"/>
      <c r="D5" s="3"/>
      <c r="E5" s="3"/>
      <c r="F5" s="4"/>
      <c r="G5" s="35"/>
    </row>
    <row r="6" spans="2:8">
      <c r="B6" s="33">
        <v>1</v>
      </c>
      <c r="C6" s="1" t="s">
        <v>63</v>
      </c>
      <c r="D6" s="1" t="s">
        <v>93</v>
      </c>
      <c r="E6" s="1"/>
      <c r="F6" s="4"/>
      <c r="G6" s="35"/>
    </row>
    <row r="7" spans="2:8">
      <c r="B7" s="33"/>
      <c r="C7" s="3"/>
      <c r="D7" s="3"/>
      <c r="E7" s="3"/>
      <c r="F7" s="4"/>
      <c r="G7" s="35"/>
    </row>
    <row r="8" spans="2:8">
      <c r="B8" s="33">
        <v>2</v>
      </c>
      <c r="C8" s="1" t="s">
        <v>64</v>
      </c>
      <c r="D8" s="1" t="s">
        <v>94</v>
      </c>
      <c r="E8" s="3"/>
      <c r="F8" s="4"/>
      <c r="G8" s="35"/>
    </row>
    <row r="9" spans="2:8">
      <c r="B9" s="33"/>
      <c r="C9" s="3"/>
      <c r="D9" s="3"/>
      <c r="E9" s="3"/>
      <c r="F9" s="4"/>
      <c r="G9" s="35"/>
    </row>
    <row r="10" spans="2:8">
      <c r="B10" s="33">
        <v>3</v>
      </c>
      <c r="C10" s="1" t="s">
        <v>46</v>
      </c>
      <c r="D10" s="1" t="s">
        <v>14</v>
      </c>
      <c r="E10" s="3"/>
      <c r="F10" s="36" t="s">
        <v>90</v>
      </c>
      <c r="G10" s="35"/>
    </row>
    <row r="11" spans="2:8">
      <c r="B11" s="33"/>
      <c r="C11" s="3"/>
      <c r="D11" s="3"/>
      <c r="E11" s="3"/>
      <c r="F11" s="36"/>
      <c r="G11" s="35"/>
    </row>
    <row r="12" spans="2:8">
      <c r="B12" s="33" t="s">
        <v>57</v>
      </c>
      <c r="C12" s="1" t="s">
        <v>49</v>
      </c>
      <c r="D12" s="1">
        <v>2012</v>
      </c>
      <c r="E12" s="3"/>
      <c r="F12" s="36"/>
      <c r="G12" s="35"/>
    </row>
    <row r="13" spans="2:8">
      <c r="B13" s="33" t="s">
        <v>58</v>
      </c>
      <c r="C13" s="1" t="s">
        <v>50</v>
      </c>
      <c r="D13" s="1">
        <v>2023</v>
      </c>
      <c r="E13" s="3"/>
      <c r="F13" s="36"/>
      <c r="G13" s="35"/>
    </row>
    <row r="14" spans="2:8">
      <c r="B14" s="33"/>
      <c r="C14" s="3"/>
      <c r="D14" s="63"/>
      <c r="E14" s="3"/>
      <c r="F14" s="36"/>
      <c r="G14" s="35"/>
    </row>
    <row r="15" spans="2:8">
      <c r="B15" s="33"/>
      <c r="C15" s="3"/>
      <c r="D15" s="3"/>
      <c r="E15" s="3"/>
      <c r="F15" s="36"/>
      <c r="G15" s="35"/>
    </row>
    <row r="16" spans="2:8">
      <c r="B16" s="33" t="s">
        <v>61</v>
      </c>
      <c r="C16" s="1" t="s">
        <v>27</v>
      </c>
      <c r="D16" s="1">
        <v>4720000</v>
      </c>
      <c r="E16" s="1" t="s">
        <v>28</v>
      </c>
      <c r="F16" s="3"/>
      <c r="G16" s="35"/>
    </row>
    <row r="17" spans="2:7">
      <c r="B17" s="33" t="s">
        <v>62</v>
      </c>
      <c r="C17" s="1" t="s">
        <v>29</v>
      </c>
      <c r="D17" s="1">
        <v>6960000000</v>
      </c>
      <c r="E17" s="1" t="s">
        <v>30</v>
      </c>
      <c r="F17" s="3"/>
      <c r="G17" s="35"/>
    </row>
    <row r="18" spans="2:7">
      <c r="B18" s="33"/>
      <c r="C18" s="3"/>
      <c r="D18" s="3"/>
      <c r="E18" s="3"/>
      <c r="F18" s="3"/>
      <c r="G18" s="35"/>
    </row>
    <row r="19" spans="2:7">
      <c r="B19" s="33">
        <v>5</v>
      </c>
      <c r="C19" s="1" t="s">
        <v>31</v>
      </c>
      <c r="D19" s="1">
        <v>2</v>
      </c>
      <c r="E19" s="1" t="s">
        <v>32</v>
      </c>
      <c r="F19" s="36" t="s">
        <v>34</v>
      </c>
      <c r="G19" s="35"/>
    </row>
    <row r="20" spans="2:7">
      <c r="B20" s="33"/>
      <c r="C20" s="3"/>
      <c r="D20" s="3"/>
      <c r="E20" s="3"/>
      <c r="F20" s="3"/>
      <c r="G20" s="35"/>
    </row>
    <row r="21" spans="2:7">
      <c r="B21" s="33">
        <v>6</v>
      </c>
      <c r="C21" s="1" t="s">
        <v>35</v>
      </c>
      <c r="D21" s="1">
        <v>15</v>
      </c>
      <c r="E21" s="3"/>
      <c r="F21" s="3"/>
      <c r="G21" s="35"/>
    </row>
    <row r="22" spans="2:7">
      <c r="B22" s="33"/>
      <c r="C22" s="3"/>
      <c r="D22" s="3"/>
      <c r="E22" s="3"/>
      <c r="F22" s="3"/>
      <c r="G22" s="35"/>
    </row>
    <row r="23" spans="2:7">
      <c r="B23" s="33" t="s">
        <v>59</v>
      </c>
      <c r="C23" s="1" t="s">
        <v>36</v>
      </c>
      <c r="D23" s="1" t="s">
        <v>37</v>
      </c>
      <c r="E23" s="3"/>
      <c r="F23" s="36" t="s">
        <v>34</v>
      </c>
      <c r="G23" s="35"/>
    </row>
    <row r="24" spans="2:7">
      <c r="B24" s="33"/>
      <c r="C24" s="3"/>
      <c r="D24" s="3"/>
      <c r="E24" s="3"/>
      <c r="F24" s="3"/>
      <c r="G24" s="35"/>
    </row>
    <row r="25" spans="2:7">
      <c r="B25" s="33" t="s">
        <v>60</v>
      </c>
      <c r="C25" s="1" t="s">
        <v>43</v>
      </c>
      <c r="D25" s="1" t="s">
        <v>41</v>
      </c>
      <c r="E25" s="3"/>
      <c r="F25" s="36" t="s">
        <v>34</v>
      </c>
      <c r="G25" s="35"/>
    </row>
    <row r="26" spans="2:7">
      <c r="B26" s="33"/>
      <c r="C26" s="3"/>
      <c r="D26" s="3"/>
      <c r="E26" s="3"/>
      <c r="F26" s="4"/>
      <c r="G26" s="35"/>
    </row>
    <row r="27" spans="2:7">
      <c r="B27" s="33" t="s">
        <v>54</v>
      </c>
      <c r="C27" s="1" t="s">
        <v>44</v>
      </c>
      <c r="D27" s="1">
        <v>0.69469999999999998</v>
      </c>
      <c r="E27" s="3" t="str">
        <f>IF(D23="Reducing","-",IF(D23="Increasing","+","Skip"))</f>
        <v>-</v>
      </c>
      <c r="F27" s="54">
        <f>IF(E27="-",0-D27,D27)</f>
        <v>-0.69469999999999998</v>
      </c>
      <c r="G27" s="35"/>
    </row>
    <row r="28" spans="2:7">
      <c r="B28" s="33"/>
      <c r="C28" s="3"/>
      <c r="D28" s="3"/>
      <c r="E28" s="3"/>
      <c r="F28" s="4"/>
      <c r="G28" s="35"/>
    </row>
    <row r="29" spans="2:7" ht="15.75">
      <c r="B29" s="33" t="s">
        <v>53</v>
      </c>
      <c r="C29" s="1" t="s">
        <v>45</v>
      </c>
      <c r="D29" s="52">
        <v>0</v>
      </c>
      <c r="E29" s="3" t="str">
        <f>IF(D25="Yes","Add value","Skip")</f>
        <v>Add value</v>
      </c>
      <c r="F29" s="4"/>
      <c r="G29" s="35"/>
    </row>
    <row r="30" spans="2:7">
      <c r="B30" s="33"/>
      <c r="C30" s="3"/>
      <c r="D30" s="3"/>
      <c r="E30" s="3"/>
      <c r="F30" s="4"/>
      <c r="G30" s="35"/>
    </row>
    <row r="31" spans="2:7">
      <c r="B31" s="33" t="s">
        <v>55</v>
      </c>
      <c r="C31" s="1" t="s">
        <v>47</v>
      </c>
      <c r="D31" s="37">
        <f>VLOOKUP(D10,Values!C4:D33,2,FALSE)</f>
        <v>1.0262</v>
      </c>
      <c r="E31" s="3"/>
      <c r="F31" s="4"/>
      <c r="G31" s="35"/>
    </row>
    <row r="32" spans="2:7">
      <c r="B32" s="33" t="s">
        <v>56</v>
      </c>
      <c r="C32" s="1" t="s">
        <v>48</v>
      </c>
      <c r="D32" s="37">
        <f>VLOOKUP(D10,Values!C4:E33,3,FALSE)</f>
        <v>0.22</v>
      </c>
      <c r="E32" s="3"/>
      <c r="F32" s="4"/>
      <c r="G32" s="35"/>
    </row>
    <row r="33" spans="2:17">
      <c r="B33" s="33"/>
      <c r="C33" s="3"/>
      <c r="D33" s="3"/>
      <c r="E33" s="3"/>
      <c r="F33" s="4"/>
      <c r="G33" s="35"/>
    </row>
    <row r="34" spans="2:17">
      <c r="B34" s="56"/>
      <c r="C34" s="57"/>
      <c r="D34" s="57"/>
      <c r="E34" s="3"/>
      <c r="F34" s="4"/>
      <c r="G34" s="35"/>
    </row>
    <row r="35" spans="2:17">
      <c r="B35" s="56"/>
      <c r="C35" s="57"/>
      <c r="D35" s="57"/>
      <c r="E35" s="3"/>
      <c r="F35" s="4"/>
      <c r="G35" s="35"/>
    </row>
    <row r="36" spans="2:17">
      <c r="B36" s="38"/>
      <c r="C36" s="39"/>
      <c r="D36" s="39"/>
      <c r="E36" s="39"/>
      <c r="F36" s="40"/>
      <c r="G36" s="41"/>
    </row>
    <row r="37" spans="2:17">
      <c r="C37" s="8"/>
      <c r="D37" s="8"/>
      <c r="E37" s="7"/>
    </row>
    <row r="38" spans="2:17">
      <c r="C38" s="7"/>
      <c r="D38" s="7"/>
      <c r="E38" s="7"/>
    </row>
    <row r="39" spans="2:17" s="7" customFormat="1" ht="23.25">
      <c r="B39" s="8"/>
      <c r="C39" s="51" t="s">
        <v>91</v>
      </c>
      <c r="D39" s="48" t="s">
        <v>68</v>
      </c>
      <c r="E39" s="49" t="s">
        <v>65</v>
      </c>
      <c r="F39" s="49" t="str">
        <f>Input_output!D6</f>
        <v>Tractor operated digger</v>
      </c>
      <c r="G39" s="49" t="s">
        <v>66</v>
      </c>
      <c r="H39" s="49" t="str">
        <f>Input_output!D8</f>
        <v>harvesting</v>
      </c>
      <c r="I39" s="49" t="s">
        <v>67</v>
      </c>
      <c r="J39" s="50" t="str">
        <f>IF(Input_output!D10="Others",Input_output!E10,Input_output!D10)</f>
        <v>Groundnut</v>
      </c>
    </row>
    <row r="40" spans="2:17" s="9" customFormat="1">
      <c r="B40" s="2"/>
      <c r="C40" s="2">
        <v>11</v>
      </c>
      <c r="D40" s="2">
        <v>12</v>
      </c>
      <c r="E40" s="2">
        <v>13</v>
      </c>
      <c r="F40" s="2">
        <v>14</v>
      </c>
      <c r="G40" s="2">
        <v>15</v>
      </c>
      <c r="H40" s="2">
        <v>16</v>
      </c>
      <c r="I40" s="2">
        <v>17</v>
      </c>
      <c r="J40" s="2">
        <v>18</v>
      </c>
      <c r="K40" s="2">
        <v>19</v>
      </c>
      <c r="L40" s="2">
        <v>20</v>
      </c>
      <c r="M40" s="2">
        <v>21</v>
      </c>
      <c r="N40" s="2" t="s">
        <v>87</v>
      </c>
      <c r="O40" s="2" t="s">
        <v>88</v>
      </c>
      <c r="P40" s="2">
        <v>22</v>
      </c>
      <c r="Q40" s="2"/>
    </row>
    <row r="41" spans="2:17" s="7" customFormat="1" ht="105">
      <c r="B41" s="42" t="s">
        <v>76</v>
      </c>
      <c r="C41" s="42" t="s">
        <v>75</v>
      </c>
      <c r="D41" s="42" t="s">
        <v>77</v>
      </c>
      <c r="E41" s="42" t="s">
        <v>51</v>
      </c>
      <c r="F41" s="42" t="s">
        <v>52</v>
      </c>
      <c r="G41" s="42" t="s">
        <v>78</v>
      </c>
      <c r="H41" s="42" t="s">
        <v>79</v>
      </c>
      <c r="I41" s="43" t="s">
        <v>80</v>
      </c>
      <c r="J41" s="43" t="s">
        <v>81</v>
      </c>
      <c r="K41" s="43" t="s">
        <v>82</v>
      </c>
      <c r="L41" s="43" t="s">
        <v>83</v>
      </c>
      <c r="M41" s="43" t="s">
        <v>84</v>
      </c>
      <c r="N41" s="43" t="s">
        <v>85</v>
      </c>
      <c r="O41" s="43" t="s">
        <v>86</v>
      </c>
      <c r="P41" s="43" t="s">
        <v>89</v>
      </c>
      <c r="Q41" s="43" t="s">
        <v>95</v>
      </c>
    </row>
    <row r="42" spans="2:17">
      <c r="B42" s="44">
        <f>D12</f>
        <v>2012</v>
      </c>
      <c r="C42" s="44">
        <v>385</v>
      </c>
      <c r="D42" s="53">
        <f>D29/D32</f>
        <v>0</v>
      </c>
      <c r="E42" s="44">
        <f>F27/(1+D29)</f>
        <v>-0.69469999999999998</v>
      </c>
      <c r="F42" s="44">
        <f>D42-E42</f>
        <v>0.69469999999999998</v>
      </c>
      <c r="G42" s="44">
        <v>1</v>
      </c>
      <c r="H42" s="44">
        <v>1</v>
      </c>
      <c r="I42" s="2">
        <f>($D$19*$D$21*C42)/$D$16</f>
        <v>2.4470338983050848E-3</v>
      </c>
      <c r="J42" s="2">
        <f>F42*G42*H42*I42</f>
        <v>1.6999544491525422E-3</v>
      </c>
      <c r="K42" s="2">
        <f>J42*$D$32/($D$31+$D$32)</f>
        <v>3.0010430012322205E-4</v>
      </c>
      <c r="L42" s="55">
        <v>6960000000</v>
      </c>
      <c r="M42" s="55">
        <v>27</v>
      </c>
      <c r="N42" s="45">
        <f>(J42-K42)*(L42*M42)*(1+0.5*K42*$D$31)</f>
        <v>263100346.88477576</v>
      </c>
      <c r="O42" s="45">
        <f>K42*L42*M42*(1+0.5*K42*$D$31)</f>
        <v>56404284.07196518</v>
      </c>
      <c r="P42" s="45">
        <f>J42*L42*M42*(1+0.5*K42*$D$31)</f>
        <v>319504630.95674098</v>
      </c>
      <c r="Q42" s="45">
        <f>AVERAGE(P42:P53)</f>
        <v>383418138.08626008</v>
      </c>
    </row>
    <row r="43" spans="2:17">
      <c r="B43" s="2">
        <f t="shared" ref="B43:B64" si="0">IF(B42=0,0,(IF($D$13&gt;B42,B42+1,0)))</f>
        <v>2013</v>
      </c>
      <c r="C43" s="2">
        <v>399</v>
      </c>
      <c r="D43" s="45">
        <f>IF(B43&gt;0,D42,0)</f>
        <v>0</v>
      </c>
      <c r="E43" s="2">
        <f>IF(B43&gt;0,E42,0)</f>
        <v>-0.69469999999999998</v>
      </c>
      <c r="F43" s="2">
        <f>IF(B43&gt;0,F42,0)</f>
        <v>0.69469999999999998</v>
      </c>
      <c r="G43" s="2">
        <f>IF(B43&gt;0,G42,0)</f>
        <v>1</v>
      </c>
      <c r="H43" s="2">
        <f>IF(B43&gt;0,H42,0)</f>
        <v>1</v>
      </c>
      <c r="I43" s="2">
        <f t="shared" ref="I43:I64" si="1">($D$19*$D$21*C43)/$D$16</f>
        <v>2.5360169491525425E-3</v>
      </c>
      <c r="J43" s="2">
        <f t="shared" ref="J43:J64" si="2">F43*G43*H43*I43</f>
        <v>1.7617709745762712E-3</v>
      </c>
      <c r="K43" s="2">
        <f t="shared" ref="K43:K64" si="3">J43*$D$32/($D$31+$D$32)</f>
        <v>3.1101718376406648E-4</v>
      </c>
      <c r="L43" s="55">
        <v>6960000000</v>
      </c>
      <c r="M43" s="55">
        <v>27</v>
      </c>
      <c r="N43" s="45">
        <f t="shared" ref="N43:N64" si="4">(J43-K43)*(L43*M43)*(1+0.5*K43*$D$31)</f>
        <v>272669158.76628077</v>
      </c>
      <c r="O43" s="45">
        <f t="shared" ref="O43:O64" si="5">K43*L43*M43*(1+0.5*K43*$D$31)</f>
        <v>58455676.211831763</v>
      </c>
      <c r="P43" s="45">
        <f t="shared" ref="P43:P64" si="6">J43*L43*M43*(1+0.5*K43*$D$31)</f>
        <v>331124834.97811252</v>
      </c>
      <c r="Q43" s="45"/>
    </row>
    <row r="44" spans="2:17">
      <c r="B44" s="2">
        <f t="shared" si="0"/>
        <v>2014</v>
      </c>
      <c r="C44" s="2">
        <v>413</v>
      </c>
      <c r="D44" s="45">
        <f>IF(B44&gt;0,D43,0)</f>
        <v>0</v>
      </c>
      <c r="E44" s="2">
        <f>IF(B44&gt;0,E43,0)</f>
        <v>-0.69469999999999998</v>
      </c>
      <c r="F44" s="2">
        <f>IF(B44&gt;0,F43,0)</f>
        <v>0.69469999999999998</v>
      </c>
      <c r="G44" s="2">
        <f t="shared" ref="G44:G64" si="7">IF(B44&gt;0,G43,0)</f>
        <v>1</v>
      </c>
      <c r="H44" s="2">
        <f t="shared" ref="H44:H64" si="8">IF(B44&gt;0,H43,0)</f>
        <v>1</v>
      </c>
      <c r="I44" s="2">
        <f t="shared" si="1"/>
        <v>2.6250000000000002E-3</v>
      </c>
      <c r="J44" s="2">
        <f t="shared" si="2"/>
        <v>1.8235875000000002E-3</v>
      </c>
      <c r="K44" s="2">
        <f t="shared" si="3"/>
        <v>3.2193006740491097E-4</v>
      </c>
      <c r="L44" s="55">
        <v>6960000000</v>
      </c>
      <c r="M44" s="55">
        <v>27</v>
      </c>
      <c r="N44" s="45">
        <f t="shared" si="4"/>
        <v>282238077.77341664</v>
      </c>
      <c r="O44" s="45">
        <f t="shared" si="5"/>
        <v>60507091.317629762</v>
      </c>
      <c r="P44" s="45">
        <f t="shared" si="6"/>
        <v>342745169.09104645</v>
      </c>
      <c r="Q44" s="45"/>
    </row>
    <row r="45" spans="2:17">
      <c r="B45" s="2">
        <f t="shared" si="0"/>
        <v>2015</v>
      </c>
      <c r="C45" s="2">
        <v>427</v>
      </c>
      <c r="D45" s="45">
        <f t="shared" ref="D45:D47" si="9">IF(B45&gt;0,D44,0)</f>
        <v>0</v>
      </c>
      <c r="E45" s="2">
        <f t="shared" ref="E45:E47" si="10">IF(B45&gt;0,E44,0)</f>
        <v>-0.69469999999999998</v>
      </c>
      <c r="F45" s="2">
        <f t="shared" ref="F45:F47" si="11">IF(B45&gt;0,F44,0)</f>
        <v>0.69469999999999998</v>
      </c>
      <c r="G45" s="2">
        <f t="shared" si="7"/>
        <v>1</v>
      </c>
      <c r="H45" s="2">
        <f t="shared" si="8"/>
        <v>1</v>
      </c>
      <c r="I45" s="2">
        <f t="shared" si="1"/>
        <v>2.7139830508474574E-3</v>
      </c>
      <c r="J45" s="2">
        <f t="shared" si="2"/>
        <v>1.8854040254237287E-3</v>
      </c>
      <c r="K45" s="2">
        <f t="shared" si="3"/>
        <v>3.3284295104575535E-4</v>
      </c>
      <c r="L45" s="55">
        <v>6960000000</v>
      </c>
      <c r="M45" s="55">
        <v>27</v>
      </c>
      <c r="N45" s="45">
        <f t="shared" si="4"/>
        <v>291807103.90618336</v>
      </c>
      <c r="O45" s="45">
        <f t="shared" si="5"/>
        <v>62558529.389359139</v>
      </c>
      <c r="P45" s="45">
        <f t="shared" si="6"/>
        <v>354365633.29554254</v>
      </c>
      <c r="Q45" s="45"/>
    </row>
    <row r="46" spans="2:17">
      <c r="B46" s="2">
        <f t="shared" si="0"/>
        <v>2016</v>
      </c>
      <c r="C46" s="2">
        <v>441</v>
      </c>
      <c r="D46" s="45">
        <f t="shared" si="9"/>
        <v>0</v>
      </c>
      <c r="E46" s="2">
        <f t="shared" si="10"/>
        <v>-0.69469999999999998</v>
      </c>
      <c r="F46" s="2">
        <f t="shared" si="11"/>
        <v>0.69469999999999998</v>
      </c>
      <c r="G46" s="2">
        <f t="shared" si="7"/>
        <v>1</v>
      </c>
      <c r="H46" s="2">
        <f t="shared" si="8"/>
        <v>1</v>
      </c>
      <c r="I46" s="2">
        <f t="shared" si="1"/>
        <v>2.8029661016949151E-3</v>
      </c>
      <c r="J46" s="2">
        <f t="shared" si="2"/>
        <v>1.9472205508474574E-3</v>
      </c>
      <c r="K46" s="2">
        <f t="shared" si="3"/>
        <v>3.4375583468659979E-4</v>
      </c>
      <c r="L46" s="55">
        <v>6960000000</v>
      </c>
      <c r="M46" s="55">
        <v>27</v>
      </c>
      <c r="N46" s="45">
        <f t="shared" si="4"/>
        <v>301376237.164581</v>
      </c>
      <c r="O46" s="45">
        <f t="shared" si="5"/>
        <v>64609990.427019902</v>
      </c>
      <c r="P46" s="45">
        <f t="shared" si="6"/>
        <v>365986227.59160089</v>
      </c>
      <c r="Q46" s="45"/>
    </row>
    <row r="47" spans="2:17">
      <c r="B47" s="2">
        <f t="shared" si="0"/>
        <v>2017</v>
      </c>
      <c r="C47" s="2">
        <v>455</v>
      </c>
      <c r="D47" s="45">
        <f t="shared" si="9"/>
        <v>0</v>
      </c>
      <c r="E47" s="2">
        <f t="shared" si="10"/>
        <v>-0.69469999999999998</v>
      </c>
      <c r="F47" s="2">
        <f t="shared" si="11"/>
        <v>0.69469999999999998</v>
      </c>
      <c r="G47" s="2">
        <f t="shared" si="7"/>
        <v>1</v>
      </c>
      <c r="H47" s="2">
        <f t="shared" si="8"/>
        <v>1</v>
      </c>
      <c r="I47" s="2">
        <f t="shared" si="1"/>
        <v>2.8919491525423728E-3</v>
      </c>
      <c r="J47" s="2">
        <f t="shared" si="2"/>
        <v>2.0090370762711864E-3</v>
      </c>
      <c r="K47" s="2">
        <f t="shared" si="3"/>
        <v>3.5466871832744423E-4</v>
      </c>
      <c r="L47" s="55">
        <v>6960000000</v>
      </c>
      <c r="M47" s="55">
        <v>27</v>
      </c>
      <c r="N47" s="45">
        <f t="shared" si="4"/>
        <v>310945477.54860967</v>
      </c>
      <c r="O47" s="45">
        <f t="shared" si="5"/>
        <v>66661474.430612102</v>
      </c>
      <c r="P47" s="45">
        <f t="shared" si="6"/>
        <v>377606951.97922176</v>
      </c>
      <c r="Q47" s="45"/>
    </row>
    <row r="48" spans="2:17">
      <c r="B48" s="2">
        <f t="shared" si="0"/>
        <v>2018</v>
      </c>
      <c r="C48" s="2">
        <v>469</v>
      </c>
      <c r="D48" s="45">
        <f>IF(B48&gt;0,D47,0)</f>
        <v>0</v>
      </c>
      <c r="E48" s="2">
        <f>IF(B48&gt;0,E47,0)</f>
        <v>-0.69469999999999998</v>
      </c>
      <c r="F48" s="2">
        <f>IF(B48&gt;0,F47,0)</f>
        <v>0.69469999999999998</v>
      </c>
      <c r="G48" s="2">
        <f t="shared" si="7"/>
        <v>1</v>
      </c>
      <c r="H48" s="2">
        <f t="shared" si="8"/>
        <v>1</v>
      </c>
      <c r="I48" s="2">
        <f t="shared" si="1"/>
        <v>2.9809322033898305E-3</v>
      </c>
      <c r="J48" s="2">
        <f t="shared" si="2"/>
        <v>2.0708536016949153E-3</v>
      </c>
      <c r="K48" s="2">
        <f t="shared" si="3"/>
        <v>3.6558160196828871E-4</v>
      </c>
      <c r="L48" s="55">
        <v>6960000000</v>
      </c>
      <c r="M48" s="55">
        <v>27</v>
      </c>
      <c r="N48" s="45">
        <f t="shared" si="4"/>
        <v>320514825.05826914</v>
      </c>
      <c r="O48" s="45">
        <f t="shared" si="5"/>
        <v>68712981.400135681</v>
      </c>
      <c r="P48" s="45">
        <f t="shared" si="6"/>
        <v>389227806.45840484</v>
      </c>
      <c r="Q48" s="45"/>
    </row>
    <row r="49" spans="2:17">
      <c r="B49" s="2">
        <f t="shared" si="0"/>
        <v>2019</v>
      </c>
      <c r="C49" s="2">
        <v>483</v>
      </c>
      <c r="D49" s="45">
        <f t="shared" ref="D49:D64" si="12">IF(B49&gt;0,D48,0)</f>
        <v>0</v>
      </c>
      <c r="E49" s="2">
        <f t="shared" ref="E49:E64" si="13">IF(B49&gt;0,E48,0)</f>
        <v>-0.69469999999999998</v>
      </c>
      <c r="F49" s="2">
        <f t="shared" ref="F49:F64" si="14">IF(B49&gt;0,F48,0)</f>
        <v>0.69469999999999998</v>
      </c>
      <c r="G49" s="2">
        <f t="shared" si="7"/>
        <v>1</v>
      </c>
      <c r="H49" s="2">
        <f t="shared" si="8"/>
        <v>1</v>
      </c>
      <c r="I49" s="2">
        <f t="shared" si="1"/>
        <v>3.0699152542372882E-3</v>
      </c>
      <c r="J49" s="2">
        <f t="shared" si="2"/>
        <v>2.1326701271186439E-3</v>
      </c>
      <c r="K49" s="2">
        <f t="shared" si="3"/>
        <v>3.764944856091331E-4</v>
      </c>
      <c r="L49" s="55">
        <v>6960000000</v>
      </c>
      <c r="M49" s="55">
        <v>27</v>
      </c>
      <c r="N49" s="45">
        <f t="shared" si="4"/>
        <v>330084279.69355953</v>
      </c>
      <c r="O49" s="45">
        <f t="shared" si="5"/>
        <v>70764511.335590616</v>
      </c>
      <c r="P49" s="45">
        <f t="shared" si="6"/>
        <v>400848791.02915013</v>
      </c>
      <c r="Q49" s="45"/>
    </row>
    <row r="50" spans="2:17">
      <c r="B50" s="2">
        <f t="shared" si="0"/>
        <v>2020</v>
      </c>
      <c r="C50" s="2">
        <v>497</v>
      </c>
      <c r="D50" s="45">
        <f t="shared" si="12"/>
        <v>0</v>
      </c>
      <c r="E50" s="2">
        <f t="shared" si="13"/>
        <v>-0.69469999999999998</v>
      </c>
      <c r="F50" s="2">
        <f t="shared" si="14"/>
        <v>0.69469999999999998</v>
      </c>
      <c r="G50" s="2">
        <f t="shared" si="7"/>
        <v>1</v>
      </c>
      <c r="H50" s="2">
        <f t="shared" si="8"/>
        <v>1</v>
      </c>
      <c r="I50" s="2">
        <f t="shared" si="1"/>
        <v>3.1588983050847459E-3</v>
      </c>
      <c r="J50" s="2">
        <f t="shared" si="2"/>
        <v>2.1944866525423728E-3</v>
      </c>
      <c r="K50" s="2">
        <f t="shared" si="3"/>
        <v>3.8740736924997753E-4</v>
      </c>
      <c r="L50" s="55">
        <v>6960000000</v>
      </c>
      <c r="M50" s="55">
        <v>27</v>
      </c>
      <c r="N50" s="45">
        <f t="shared" si="4"/>
        <v>339653841.45448083</v>
      </c>
      <c r="O50" s="45">
        <f t="shared" si="5"/>
        <v>72816064.236976981</v>
      </c>
      <c r="P50" s="45">
        <f t="shared" si="6"/>
        <v>412469905.69145781</v>
      </c>
      <c r="Q50" s="45"/>
    </row>
    <row r="51" spans="2:17">
      <c r="B51" s="2">
        <f t="shared" si="0"/>
        <v>2021</v>
      </c>
      <c r="C51" s="2">
        <v>511</v>
      </c>
      <c r="D51" s="45">
        <f t="shared" si="12"/>
        <v>0</v>
      </c>
      <c r="E51" s="2">
        <f t="shared" si="13"/>
        <v>-0.69469999999999998</v>
      </c>
      <c r="F51" s="2">
        <f t="shared" si="14"/>
        <v>0.69469999999999998</v>
      </c>
      <c r="G51" s="2">
        <f t="shared" si="7"/>
        <v>1</v>
      </c>
      <c r="H51" s="2">
        <f t="shared" si="8"/>
        <v>1</v>
      </c>
      <c r="I51" s="2">
        <f t="shared" si="1"/>
        <v>3.2478813559322032E-3</v>
      </c>
      <c r="J51" s="2">
        <f t="shared" si="2"/>
        <v>2.2563031779661014E-3</v>
      </c>
      <c r="K51" s="2">
        <f t="shared" si="3"/>
        <v>3.9832025289082197E-4</v>
      </c>
      <c r="L51" s="55">
        <v>6960000000</v>
      </c>
      <c r="M51" s="55">
        <v>27</v>
      </c>
      <c r="N51" s="45">
        <f t="shared" si="4"/>
        <v>349223510.34103298</v>
      </c>
      <c r="O51" s="45">
        <f t="shared" si="5"/>
        <v>74867640.104294747</v>
      </c>
      <c r="P51" s="45">
        <f t="shared" si="6"/>
        <v>424091150.4453277</v>
      </c>
      <c r="Q51" s="45"/>
    </row>
    <row r="52" spans="2:17">
      <c r="B52" s="2">
        <f t="shared" si="0"/>
        <v>2022</v>
      </c>
      <c r="C52" s="2">
        <v>525</v>
      </c>
      <c r="D52" s="45">
        <f t="shared" si="12"/>
        <v>0</v>
      </c>
      <c r="E52" s="2">
        <f t="shared" si="13"/>
        <v>-0.69469999999999998</v>
      </c>
      <c r="F52" s="2">
        <f t="shared" si="14"/>
        <v>0.69469999999999998</v>
      </c>
      <c r="G52" s="2">
        <f t="shared" si="7"/>
        <v>1</v>
      </c>
      <c r="H52" s="2">
        <f t="shared" si="8"/>
        <v>1</v>
      </c>
      <c r="I52" s="2">
        <f t="shared" si="1"/>
        <v>3.3368644067796609E-3</v>
      </c>
      <c r="J52" s="2">
        <f t="shared" si="2"/>
        <v>2.3181197033898303E-3</v>
      </c>
      <c r="K52" s="2">
        <f t="shared" si="3"/>
        <v>4.0923313653166646E-4</v>
      </c>
      <c r="L52" s="55">
        <v>6960000000</v>
      </c>
      <c r="M52" s="55">
        <v>27</v>
      </c>
      <c r="N52" s="45">
        <f t="shared" si="4"/>
        <v>358793286.35321611</v>
      </c>
      <c r="O52" s="45">
        <f t="shared" si="5"/>
        <v>76919238.937543899</v>
      </c>
      <c r="P52" s="45">
        <f t="shared" si="6"/>
        <v>435712525.29075998</v>
      </c>
      <c r="Q52" s="45"/>
    </row>
    <row r="53" spans="2:17">
      <c r="B53" s="2">
        <f t="shared" si="0"/>
        <v>2023</v>
      </c>
      <c r="C53" s="2">
        <v>539</v>
      </c>
      <c r="D53" s="45">
        <f t="shared" si="12"/>
        <v>0</v>
      </c>
      <c r="E53" s="2">
        <f t="shared" si="13"/>
        <v>-0.69469999999999998</v>
      </c>
      <c r="F53" s="2">
        <f t="shared" si="14"/>
        <v>0.69469999999999998</v>
      </c>
      <c r="G53" s="2">
        <f t="shared" si="7"/>
        <v>1</v>
      </c>
      <c r="H53" s="2">
        <f t="shared" si="8"/>
        <v>1</v>
      </c>
      <c r="I53" s="2">
        <f t="shared" si="1"/>
        <v>3.4258474576271186E-3</v>
      </c>
      <c r="J53" s="2">
        <f t="shared" si="2"/>
        <v>2.3799362288135593E-3</v>
      </c>
      <c r="K53" s="2">
        <f t="shared" si="3"/>
        <v>4.2014602017251084E-4</v>
      </c>
      <c r="L53" s="55">
        <v>6960000000</v>
      </c>
      <c r="M53" s="55">
        <v>27</v>
      </c>
      <c r="N53" s="45">
        <f t="shared" si="4"/>
        <v>368363169.49103022</v>
      </c>
      <c r="O53" s="45">
        <f t="shared" si="5"/>
        <v>78970860.736724466</v>
      </c>
      <c r="P53" s="45">
        <f t="shared" si="6"/>
        <v>447334030.22775465</v>
      </c>
      <c r="Q53" s="45"/>
    </row>
    <row r="54" spans="2:17">
      <c r="B54" s="2">
        <f t="shared" si="0"/>
        <v>0</v>
      </c>
      <c r="C54" s="2">
        <f t="shared" ref="C54:C64" si="15">IF(C53=0,0,(IF(B54=0,0,C53)))</f>
        <v>0</v>
      </c>
      <c r="D54" s="2">
        <f t="shared" si="12"/>
        <v>0</v>
      </c>
      <c r="E54" s="2">
        <f t="shared" si="13"/>
        <v>0</v>
      </c>
      <c r="F54" s="2">
        <f t="shared" si="14"/>
        <v>0</v>
      </c>
      <c r="G54" s="2">
        <f t="shared" si="7"/>
        <v>0</v>
      </c>
      <c r="H54" s="2">
        <f t="shared" si="8"/>
        <v>0</v>
      </c>
      <c r="I54" s="2">
        <f>($D$19*$D$21*C54)/$D$16</f>
        <v>0</v>
      </c>
      <c r="J54" s="2">
        <f t="shared" si="2"/>
        <v>0</v>
      </c>
      <c r="K54" s="2">
        <f t="shared" si="3"/>
        <v>0</v>
      </c>
      <c r="L54" s="46"/>
      <c r="M54" s="46"/>
      <c r="N54" s="45">
        <f t="shared" si="4"/>
        <v>0</v>
      </c>
      <c r="O54" s="45">
        <f t="shared" si="5"/>
        <v>0</v>
      </c>
      <c r="P54" s="45">
        <f t="shared" si="6"/>
        <v>0</v>
      </c>
      <c r="Q54" s="45"/>
    </row>
    <row r="55" spans="2:17">
      <c r="B55" s="2">
        <f t="shared" si="0"/>
        <v>0</v>
      </c>
      <c r="C55" s="2">
        <f t="shared" si="15"/>
        <v>0</v>
      </c>
      <c r="D55" s="2">
        <f t="shared" si="12"/>
        <v>0</v>
      </c>
      <c r="E55" s="2">
        <f t="shared" si="13"/>
        <v>0</v>
      </c>
      <c r="F55" s="2">
        <f t="shared" si="14"/>
        <v>0</v>
      </c>
      <c r="G55" s="2">
        <f t="shared" si="7"/>
        <v>0</v>
      </c>
      <c r="H55" s="2">
        <f t="shared" si="8"/>
        <v>0</v>
      </c>
      <c r="I55" s="2">
        <f t="shared" si="1"/>
        <v>0</v>
      </c>
      <c r="J55" s="2">
        <f t="shared" si="2"/>
        <v>0</v>
      </c>
      <c r="K55" s="2">
        <f t="shared" si="3"/>
        <v>0</v>
      </c>
      <c r="L55" s="46"/>
      <c r="M55" s="46"/>
      <c r="N55" s="45">
        <f t="shared" si="4"/>
        <v>0</v>
      </c>
      <c r="O55" s="45">
        <f t="shared" si="5"/>
        <v>0</v>
      </c>
      <c r="P55" s="45">
        <f t="shared" si="6"/>
        <v>0</v>
      </c>
      <c r="Q55" s="45"/>
    </row>
    <row r="56" spans="2:17">
      <c r="B56" s="2">
        <f t="shared" si="0"/>
        <v>0</v>
      </c>
      <c r="C56" s="2">
        <f t="shared" si="15"/>
        <v>0</v>
      </c>
      <c r="D56" s="2">
        <f t="shared" si="12"/>
        <v>0</v>
      </c>
      <c r="E56" s="2">
        <f t="shared" si="13"/>
        <v>0</v>
      </c>
      <c r="F56" s="2">
        <f t="shared" si="14"/>
        <v>0</v>
      </c>
      <c r="G56" s="2">
        <f t="shared" si="7"/>
        <v>0</v>
      </c>
      <c r="H56" s="2">
        <f t="shared" si="8"/>
        <v>0</v>
      </c>
      <c r="I56" s="2">
        <f t="shared" si="1"/>
        <v>0</v>
      </c>
      <c r="J56" s="2">
        <f t="shared" si="2"/>
        <v>0</v>
      </c>
      <c r="K56" s="2">
        <f t="shared" si="3"/>
        <v>0</v>
      </c>
      <c r="L56" s="46"/>
      <c r="M56" s="46"/>
      <c r="N56" s="45">
        <f t="shared" si="4"/>
        <v>0</v>
      </c>
      <c r="O56" s="45">
        <f t="shared" si="5"/>
        <v>0</v>
      </c>
      <c r="P56" s="45">
        <f t="shared" si="6"/>
        <v>0</v>
      </c>
      <c r="Q56" s="45"/>
    </row>
    <row r="57" spans="2:17">
      <c r="B57" s="2">
        <f t="shared" si="0"/>
        <v>0</v>
      </c>
      <c r="C57" s="2">
        <f t="shared" si="15"/>
        <v>0</v>
      </c>
      <c r="D57" s="2">
        <f t="shared" si="12"/>
        <v>0</v>
      </c>
      <c r="E57" s="2">
        <f t="shared" si="13"/>
        <v>0</v>
      </c>
      <c r="F57" s="2">
        <f t="shared" si="14"/>
        <v>0</v>
      </c>
      <c r="G57" s="2">
        <f t="shared" si="7"/>
        <v>0</v>
      </c>
      <c r="H57" s="2">
        <f t="shared" si="8"/>
        <v>0</v>
      </c>
      <c r="I57" s="2">
        <f t="shared" si="1"/>
        <v>0</v>
      </c>
      <c r="J57" s="2">
        <f t="shared" si="2"/>
        <v>0</v>
      </c>
      <c r="K57" s="2">
        <f t="shared" si="3"/>
        <v>0</v>
      </c>
      <c r="L57" s="46"/>
      <c r="M57" s="46"/>
      <c r="N57" s="45">
        <f t="shared" si="4"/>
        <v>0</v>
      </c>
      <c r="O57" s="45">
        <f t="shared" si="5"/>
        <v>0</v>
      </c>
      <c r="P57" s="45">
        <f t="shared" si="6"/>
        <v>0</v>
      </c>
      <c r="Q57" s="45"/>
    </row>
    <row r="58" spans="2:17">
      <c r="B58" s="2">
        <f t="shared" si="0"/>
        <v>0</v>
      </c>
      <c r="C58" s="2">
        <f t="shared" si="15"/>
        <v>0</v>
      </c>
      <c r="D58" s="2">
        <f t="shared" si="12"/>
        <v>0</v>
      </c>
      <c r="E58" s="2">
        <f t="shared" si="13"/>
        <v>0</v>
      </c>
      <c r="F58" s="2">
        <f t="shared" si="14"/>
        <v>0</v>
      </c>
      <c r="G58" s="2">
        <f t="shared" si="7"/>
        <v>0</v>
      </c>
      <c r="H58" s="2">
        <f t="shared" si="8"/>
        <v>0</v>
      </c>
      <c r="I58" s="2">
        <f t="shared" si="1"/>
        <v>0</v>
      </c>
      <c r="J58" s="2">
        <f t="shared" si="2"/>
        <v>0</v>
      </c>
      <c r="K58" s="2">
        <f t="shared" si="3"/>
        <v>0</v>
      </c>
      <c r="L58" s="46"/>
      <c r="M58" s="46"/>
      <c r="N58" s="45">
        <f t="shared" si="4"/>
        <v>0</v>
      </c>
      <c r="O58" s="45">
        <f t="shared" si="5"/>
        <v>0</v>
      </c>
      <c r="P58" s="45">
        <f t="shared" si="6"/>
        <v>0</v>
      </c>
      <c r="Q58" s="45"/>
    </row>
    <row r="59" spans="2:17">
      <c r="B59" s="2">
        <f t="shared" si="0"/>
        <v>0</v>
      </c>
      <c r="C59" s="2">
        <f t="shared" si="15"/>
        <v>0</v>
      </c>
      <c r="D59" s="2">
        <f t="shared" si="12"/>
        <v>0</v>
      </c>
      <c r="E59" s="2">
        <f t="shared" si="13"/>
        <v>0</v>
      </c>
      <c r="F59" s="2">
        <f t="shared" si="14"/>
        <v>0</v>
      </c>
      <c r="G59" s="2">
        <f t="shared" si="7"/>
        <v>0</v>
      </c>
      <c r="H59" s="2">
        <f t="shared" si="8"/>
        <v>0</v>
      </c>
      <c r="I59" s="2">
        <f t="shared" si="1"/>
        <v>0</v>
      </c>
      <c r="J59" s="2">
        <f t="shared" si="2"/>
        <v>0</v>
      </c>
      <c r="K59" s="2">
        <f t="shared" si="3"/>
        <v>0</v>
      </c>
      <c r="L59" s="46"/>
      <c r="M59" s="46"/>
      <c r="N59" s="45">
        <f t="shared" si="4"/>
        <v>0</v>
      </c>
      <c r="O59" s="45">
        <f t="shared" si="5"/>
        <v>0</v>
      </c>
      <c r="P59" s="45">
        <f t="shared" si="6"/>
        <v>0</v>
      </c>
      <c r="Q59" s="45"/>
    </row>
    <row r="60" spans="2:17">
      <c r="B60" s="2">
        <f t="shared" si="0"/>
        <v>0</v>
      </c>
      <c r="C60" s="2">
        <f t="shared" si="15"/>
        <v>0</v>
      </c>
      <c r="D60" s="2">
        <f t="shared" si="12"/>
        <v>0</v>
      </c>
      <c r="E60" s="2">
        <f t="shared" si="13"/>
        <v>0</v>
      </c>
      <c r="F60" s="2">
        <f t="shared" si="14"/>
        <v>0</v>
      </c>
      <c r="G60" s="2">
        <f t="shared" si="7"/>
        <v>0</v>
      </c>
      <c r="H60" s="2">
        <f t="shared" si="8"/>
        <v>0</v>
      </c>
      <c r="I60" s="2">
        <f t="shared" si="1"/>
        <v>0</v>
      </c>
      <c r="J60" s="2">
        <f t="shared" si="2"/>
        <v>0</v>
      </c>
      <c r="K60" s="2">
        <f t="shared" si="3"/>
        <v>0</v>
      </c>
      <c r="L60" s="46"/>
      <c r="M60" s="46"/>
      <c r="N60" s="45">
        <f t="shared" si="4"/>
        <v>0</v>
      </c>
      <c r="O60" s="45">
        <f t="shared" si="5"/>
        <v>0</v>
      </c>
      <c r="P60" s="45">
        <f t="shared" si="6"/>
        <v>0</v>
      </c>
      <c r="Q60" s="45"/>
    </row>
    <row r="61" spans="2:17">
      <c r="B61" s="2">
        <f t="shared" si="0"/>
        <v>0</v>
      </c>
      <c r="C61" s="2">
        <f t="shared" si="15"/>
        <v>0</v>
      </c>
      <c r="D61" s="2">
        <f t="shared" si="12"/>
        <v>0</v>
      </c>
      <c r="E61" s="2">
        <f t="shared" si="13"/>
        <v>0</v>
      </c>
      <c r="F61" s="2">
        <f t="shared" si="14"/>
        <v>0</v>
      </c>
      <c r="G61" s="2">
        <f t="shared" si="7"/>
        <v>0</v>
      </c>
      <c r="H61" s="2">
        <f t="shared" si="8"/>
        <v>0</v>
      </c>
      <c r="I61" s="2">
        <f t="shared" si="1"/>
        <v>0</v>
      </c>
      <c r="J61" s="2">
        <f t="shared" si="2"/>
        <v>0</v>
      </c>
      <c r="K61" s="2">
        <f t="shared" si="3"/>
        <v>0</v>
      </c>
      <c r="L61" s="46"/>
      <c r="M61" s="46"/>
      <c r="N61" s="45">
        <f t="shared" si="4"/>
        <v>0</v>
      </c>
      <c r="O61" s="45">
        <f t="shared" si="5"/>
        <v>0</v>
      </c>
      <c r="P61" s="45">
        <f t="shared" si="6"/>
        <v>0</v>
      </c>
      <c r="Q61" s="45"/>
    </row>
    <row r="62" spans="2:17">
      <c r="B62" s="2">
        <f t="shared" si="0"/>
        <v>0</v>
      </c>
      <c r="C62" s="2">
        <f t="shared" si="15"/>
        <v>0</v>
      </c>
      <c r="D62" s="2">
        <f t="shared" si="12"/>
        <v>0</v>
      </c>
      <c r="E62" s="2">
        <f t="shared" si="13"/>
        <v>0</v>
      </c>
      <c r="F62" s="2">
        <f t="shared" si="14"/>
        <v>0</v>
      </c>
      <c r="G62" s="2">
        <f t="shared" si="7"/>
        <v>0</v>
      </c>
      <c r="H62" s="2">
        <f t="shared" si="8"/>
        <v>0</v>
      </c>
      <c r="I62" s="2">
        <f t="shared" si="1"/>
        <v>0</v>
      </c>
      <c r="J62" s="2">
        <f t="shared" si="2"/>
        <v>0</v>
      </c>
      <c r="K62" s="2">
        <f t="shared" si="3"/>
        <v>0</v>
      </c>
      <c r="L62" s="46"/>
      <c r="M62" s="46"/>
      <c r="N62" s="45">
        <f t="shared" si="4"/>
        <v>0</v>
      </c>
      <c r="O62" s="45">
        <f t="shared" si="5"/>
        <v>0</v>
      </c>
      <c r="P62" s="45">
        <f t="shared" si="6"/>
        <v>0</v>
      </c>
      <c r="Q62" s="45"/>
    </row>
    <row r="63" spans="2:17">
      <c r="B63" s="2">
        <f t="shared" si="0"/>
        <v>0</v>
      </c>
      <c r="C63" s="2">
        <f t="shared" si="15"/>
        <v>0</v>
      </c>
      <c r="D63" s="2">
        <f t="shared" si="12"/>
        <v>0</v>
      </c>
      <c r="E63" s="2">
        <f t="shared" si="13"/>
        <v>0</v>
      </c>
      <c r="F63" s="2">
        <f t="shared" si="14"/>
        <v>0</v>
      </c>
      <c r="G63" s="2">
        <f t="shared" si="7"/>
        <v>0</v>
      </c>
      <c r="H63" s="2">
        <f t="shared" si="8"/>
        <v>0</v>
      </c>
      <c r="I63" s="2">
        <f t="shared" si="1"/>
        <v>0</v>
      </c>
      <c r="J63" s="2">
        <f t="shared" si="2"/>
        <v>0</v>
      </c>
      <c r="K63" s="2">
        <f t="shared" si="3"/>
        <v>0</v>
      </c>
      <c r="L63" s="46"/>
      <c r="M63" s="46"/>
      <c r="N63" s="45">
        <f t="shared" si="4"/>
        <v>0</v>
      </c>
      <c r="O63" s="45">
        <f t="shared" si="5"/>
        <v>0</v>
      </c>
      <c r="P63" s="45">
        <f t="shared" si="6"/>
        <v>0</v>
      </c>
      <c r="Q63" s="45"/>
    </row>
    <row r="64" spans="2:17">
      <c r="B64" s="2">
        <f t="shared" si="0"/>
        <v>0</v>
      </c>
      <c r="C64" s="2">
        <f t="shared" si="15"/>
        <v>0</v>
      </c>
      <c r="D64" s="2">
        <f t="shared" si="12"/>
        <v>0</v>
      </c>
      <c r="E64" s="2">
        <f t="shared" si="13"/>
        <v>0</v>
      </c>
      <c r="F64" s="2">
        <f t="shared" si="14"/>
        <v>0</v>
      </c>
      <c r="G64" s="2">
        <f t="shared" si="7"/>
        <v>0</v>
      </c>
      <c r="H64" s="2">
        <f t="shared" si="8"/>
        <v>0</v>
      </c>
      <c r="I64" s="2">
        <f t="shared" si="1"/>
        <v>0</v>
      </c>
      <c r="J64" s="2">
        <f t="shared" si="2"/>
        <v>0</v>
      </c>
      <c r="K64" s="2">
        <f t="shared" si="3"/>
        <v>0</v>
      </c>
      <c r="L64" s="46"/>
      <c r="M64" s="46"/>
      <c r="N64" s="45">
        <f t="shared" si="4"/>
        <v>0</v>
      </c>
      <c r="O64" s="45">
        <f t="shared" si="5"/>
        <v>0</v>
      </c>
      <c r="P64" s="45">
        <f t="shared" si="6"/>
        <v>0</v>
      </c>
      <c r="Q64" s="45"/>
    </row>
  </sheetData>
  <dataValidations count="4">
    <dataValidation type="list" allowBlank="1" showInputMessage="1" showErrorMessage="1" sqref="E19">
      <formula1>Values!$F$4:$F$5</formula1>
    </dataValidation>
    <dataValidation type="list" allowBlank="1" showInputMessage="1" showErrorMessage="1" sqref="D23">
      <formula1>Values!$G$4:$G$6</formula1>
    </dataValidation>
    <dataValidation type="list" allowBlank="1" showInputMessage="1" showErrorMessage="1" sqref="D25">
      <formula1>Values!$H$4:$H$5</formula1>
    </dataValidation>
    <dataValidation type="list" allowBlank="1" showInputMessage="1" showErrorMessage="1" sqref="D10:D11">
      <formula1>Values!$C$4:$C$33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Values</vt:lpstr>
      <vt:lpstr>Input_output</vt:lpstr>
    </vt:vector>
  </TitlesOfParts>
  <Manager/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Administrator</dc:creator>
  <cp:keywords/>
  <dc:description/>
  <cp:lastModifiedBy>Acer</cp:lastModifiedBy>
  <dcterms:created xsi:type="dcterms:W3CDTF">2024-12-23T08:20:09Z</dcterms:created>
  <dcterms:modified xsi:type="dcterms:W3CDTF">2025-04-22T09:00:02Z</dcterms:modified>
  <cp:category/>
</cp:coreProperties>
</file>